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cien\Documents\github\PubTube-Modulo2\scrum\burndown\"/>
    </mc:Choice>
  </mc:AlternateContent>
  <xr:revisionPtr revIDLastSave="0" documentId="13_ncr:1_{B5166270-74FF-47F1-B5BB-C5C31C6C7463}" xr6:coauthVersionLast="47" xr6:coauthVersionMax="47" xr10:uidLastSave="{00000000-0000-0000-0000-000000000000}"/>
  <bookViews>
    <workbookView xWindow="5145" yWindow="2355" windowWidth="21600" windowHeight="11385" firstSheet="1" activeTab="3" xr2:uid="{00000000-000D-0000-FFFF-FFFF00000000}"/>
  </bookViews>
  <sheets>
    <sheet name="⚙ Configuración" sheetId="1" r:id="rId1"/>
    <sheet name="📋 Sprint Backlog" sheetId="2" r:id="rId2"/>
    <sheet name="📉 Burndown 1" sheetId="4" r:id="rId3"/>
    <sheet name="📉 Burndown 2" sheetId="5" r:id="rId4"/>
    <sheet name="📊 Métricas" sheetId="6" r:id="rId5"/>
    <sheet name="🔄 Retrospectiv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ggMJoj/+zRiqIimjhm2VyPj8q7rKtxaZhSj/LNkaD0="/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C21" i="6"/>
  <c r="C20" i="6"/>
  <c r="D37" i="5" l="1"/>
  <c r="D38" i="5"/>
  <c r="D36" i="5"/>
  <c r="D35" i="5"/>
  <c r="C15" i="6"/>
  <c r="C14" i="6"/>
  <c r="C13" i="6"/>
  <c r="F12" i="5"/>
  <c r="G13" i="5" s="1"/>
  <c r="L21" i="5"/>
  <c r="L15" i="5"/>
  <c r="F14" i="5"/>
  <c r="F15" i="5"/>
  <c r="C12" i="6"/>
  <c r="C9" i="6"/>
  <c r="C8" i="6"/>
  <c r="E31" i="5"/>
  <c r="E30" i="5"/>
  <c r="E29" i="5"/>
  <c r="E28" i="5"/>
  <c r="F7" i="5"/>
  <c r="F6" i="5"/>
  <c r="G5" i="5"/>
  <c r="G4" i="5"/>
  <c r="E31" i="4"/>
  <c r="E30" i="4"/>
  <c r="E29" i="4"/>
  <c r="E28" i="4"/>
  <c r="F7" i="4"/>
  <c r="F6" i="4"/>
  <c r="G7" i="4" s="1"/>
  <c r="G5" i="4"/>
  <c r="G4" i="4"/>
  <c r="G28" i="2"/>
  <c r="C5" i="6" s="1"/>
  <c r="F28" i="2"/>
  <c r="G27" i="5" l="1"/>
  <c r="G30" i="5"/>
  <c r="G19" i="5"/>
  <c r="G25" i="4"/>
  <c r="G16" i="4"/>
  <c r="G19" i="4"/>
  <c r="G22" i="4"/>
  <c r="G28" i="4"/>
  <c r="G16" i="5"/>
  <c r="C6" i="6"/>
  <c r="H28" i="2"/>
  <c r="C19" i="6"/>
  <c r="G10" i="4"/>
  <c r="G13" i="4"/>
  <c r="G30" i="4"/>
  <c r="G10" i="5"/>
  <c r="C7" i="6"/>
  <c r="G8" i="4"/>
  <c r="G8" i="5"/>
  <c r="G22" i="5"/>
  <c r="G25" i="5"/>
  <c r="G28" i="5"/>
  <c r="G11" i="4"/>
  <c r="G14" i="4"/>
  <c r="G31" i="4"/>
  <c r="G11" i="5"/>
  <c r="G17" i="4"/>
  <c r="G14" i="5"/>
  <c r="G31" i="5"/>
  <c r="G6" i="4"/>
  <c r="G23" i="4"/>
  <c r="G26" i="4"/>
  <c r="G6" i="5"/>
  <c r="G17" i="5"/>
  <c r="G20" i="5"/>
  <c r="G9" i="4"/>
  <c r="G9" i="5"/>
  <c r="G23" i="5"/>
  <c r="G26" i="5"/>
  <c r="G20" i="4"/>
  <c r="G12" i="4"/>
  <c r="G15" i="4"/>
  <c r="G29" i="4"/>
  <c r="G18" i="4"/>
  <c r="G21" i="4"/>
  <c r="G12" i="5"/>
  <c r="G15" i="5"/>
  <c r="G29" i="5"/>
  <c r="C4" i="6"/>
  <c r="C11" i="1"/>
  <c r="E11" i="4" s="1"/>
  <c r="G24" i="4"/>
  <c r="G27" i="4"/>
  <c r="G18" i="5"/>
  <c r="G21" i="5"/>
  <c r="G7" i="5"/>
  <c r="G24" i="5"/>
  <c r="J29" i="5" l="1"/>
  <c r="H21" i="5"/>
  <c r="H18" i="5"/>
  <c r="I15" i="5"/>
  <c r="J12" i="5"/>
  <c r="E10" i="5"/>
  <c r="J4" i="5"/>
  <c r="H27" i="4"/>
  <c r="H24" i="4"/>
  <c r="I21" i="4"/>
  <c r="J18" i="4"/>
  <c r="J15" i="4"/>
  <c r="E13" i="4"/>
  <c r="E10" i="4"/>
  <c r="J4" i="4"/>
  <c r="H29" i="5"/>
  <c r="E27" i="5"/>
  <c r="E24" i="5"/>
  <c r="H15" i="5"/>
  <c r="H12" i="5"/>
  <c r="J9" i="5"/>
  <c r="H4" i="5"/>
  <c r="J29" i="4"/>
  <c r="H21" i="4"/>
  <c r="H18" i="4"/>
  <c r="I15" i="4"/>
  <c r="J12" i="4"/>
  <c r="J9" i="4"/>
  <c r="H4" i="4"/>
  <c r="H5" i="5"/>
  <c r="J13" i="4"/>
  <c r="J21" i="5"/>
  <c r="E22" i="4"/>
  <c r="J26" i="5"/>
  <c r="J23" i="5"/>
  <c r="E21" i="5"/>
  <c r="E18" i="5"/>
  <c r="I9" i="5"/>
  <c r="E7" i="5"/>
  <c r="H29" i="4"/>
  <c r="E27" i="4"/>
  <c r="E24" i="4"/>
  <c r="H15" i="4"/>
  <c r="H12" i="4"/>
  <c r="I9" i="4"/>
  <c r="E7" i="4"/>
  <c r="H10" i="5"/>
  <c r="H10" i="4"/>
  <c r="J31" i="5"/>
  <c r="H26" i="5"/>
  <c r="H23" i="5"/>
  <c r="J20" i="5"/>
  <c r="J17" i="5"/>
  <c r="E15" i="5"/>
  <c r="H9" i="5"/>
  <c r="J6" i="5"/>
  <c r="E4" i="5"/>
  <c r="J26" i="4"/>
  <c r="J23" i="4"/>
  <c r="E21" i="4"/>
  <c r="E18" i="4"/>
  <c r="H9" i="4"/>
  <c r="J6" i="4"/>
  <c r="E4" i="4"/>
  <c r="E12" i="5"/>
  <c r="J31" i="4"/>
  <c r="H26" i="4"/>
  <c r="H23" i="4"/>
  <c r="J20" i="4"/>
  <c r="E15" i="4"/>
  <c r="E12" i="4"/>
  <c r="H6" i="4"/>
  <c r="J30" i="4"/>
  <c r="H5" i="4"/>
  <c r="J27" i="5"/>
  <c r="H30" i="4"/>
  <c r="I31" i="5"/>
  <c r="K28" i="5"/>
  <c r="H20" i="5"/>
  <c r="H17" i="5"/>
  <c r="J14" i="5"/>
  <c r="H6" i="5"/>
  <c r="J17" i="4"/>
  <c r="E26" i="4"/>
  <c r="E25" i="5"/>
  <c r="E25" i="4"/>
  <c r="J7" i="4"/>
  <c r="H31" i="5"/>
  <c r="J28" i="5"/>
  <c r="E26" i="5"/>
  <c r="E23" i="5"/>
  <c r="H14" i="5"/>
  <c r="J11" i="5"/>
  <c r="E9" i="5"/>
  <c r="I31" i="4"/>
  <c r="K28" i="4"/>
  <c r="H20" i="4"/>
  <c r="H17" i="4"/>
  <c r="J14" i="4"/>
  <c r="J11" i="4"/>
  <c r="E9" i="4"/>
  <c r="J8" i="4"/>
  <c r="J10" i="5"/>
  <c r="H19" i="4"/>
  <c r="E19" i="5"/>
  <c r="I28" i="5"/>
  <c r="J25" i="5"/>
  <c r="J22" i="5"/>
  <c r="E20" i="5"/>
  <c r="E17" i="5"/>
  <c r="H11" i="5"/>
  <c r="J8" i="5"/>
  <c r="H31" i="4"/>
  <c r="J28" i="4"/>
  <c r="E23" i="4"/>
  <c r="H14" i="4"/>
  <c r="H11" i="4"/>
  <c r="H16" i="4"/>
  <c r="J7" i="5"/>
  <c r="H13" i="4"/>
  <c r="H28" i="5"/>
  <c r="H25" i="5"/>
  <c r="H22" i="5"/>
  <c r="J19" i="5"/>
  <c r="J16" i="5"/>
  <c r="E14" i="5"/>
  <c r="H8" i="5"/>
  <c r="E6" i="5"/>
  <c r="I28" i="4"/>
  <c r="J25" i="4"/>
  <c r="J22" i="4"/>
  <c r="E20" i="4"/>
  <c r="E17" i="4"/>
  <c r="H8" i="4"/>
  <c r="E6" i="4"/>
  <c r="H22" i="4"/>
  <c r="J16" i="4"/>
  <c r="J5" i="4"/>
  <c r="E8" i="4"/>
  <c r="J24" i="5"/>
  <c r="J30" i="5"/>
  <c r="H19" i="5"/>
  <c r="H16" i="5"/>
  <c r="J13" i="5"/>
  <c r="E11" i="5"/>
  <c r="J5" i="5"/>
  <c r="H28" i="4"/>
  <c r="H25" i="4"/>
  <c r="J19" i="4"/>
  <c r="E14" i="4"/>
  <c r="H30" i="5"/>
  <c r="H13" i="5"/>
  <c r="E8" i="5"/>
  <c r="H27" i="5"/>
  <c r="H24" i="5"/>
  <c r="I21" i="5"/>
  <c r="J18" i="5"/>
  <c r="J15" i="5"/>
  <c r="E13" i="5"/>
  <c r="H7" i="5"/>
  <c r="E5" i="5"/>
  <c r="J27" i="4"/>
  <c r="J24" i="4"/>
  <c r="J21" i="4"/>
  <c r="E19" i="4"/>
  <c r="E16" i="4"/>
  <c r="H7" i="4"/>
  <c r="E5" i="4"/>
  <c r="E22" i="5"/>
  <c r="J10" i="4"/>
  <c r="E16" i="5"/>
</calcChain>
</file>

<file path=xl/sharedStrings.xml><?xml version="1.0" encoding="utf-8"?>
<sst xmlns="http://schemas.openxmlformats.org/spreadsheetml/2006/main" count="251" uniqueCount="181">
  <si>
    <t>🏃  Configuración del Sprint</t>
  </si>
  <si>
    <t>Completa estos datos antes de comenzar el sprint</t>
  </si>
  <si>
    <t xml:space="preserve">  📋  Datos del Sprint</t>
  </si>
  <si>
    <t>Nombre del proyecto</t>
  </si>
  <si>
    <t>PubTube</t>
  </si>
  <si>
    <t>Número de sprint</t>
  </si>
  <si>
    <t>Equipo / Módulo</t>
  </si>
  <si>
    <t>Equipo B — M2 Pub/Sub</t>
  </si>
  <si>
    <t>Fecha de inicio</t>
  </si>
  <si>
    <t>Fecha de cierre (Review)</t>
  </si>
  <si>
    <t>Duración (sesiones Lun/Jue)</t>
  </si>
  <si>
    <t>Story Points comprometidos (total)</t>
  </si>
  <si>
    <t>📋  Sprint Backlog</t>
  </si>
  <si>
    <t>Historias de usuario correspondientes al sprint 1</t>
  </si>
  <si>
    <t>Velocidad sprint anterior</t>
  </si>
  <si>
    <t>Número de integrantes</t>
  </si>
  <si>
    <t xml:space="preserve">  🎯  Definition of Done (DoD)</t>
  </si>
  <si>
    <t xml:space="preserve">  ✔  Código revisado por al menos un par (Code Review)</t>
  </si>
  <si>
    <t>ID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</si>
  <si>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</si>
  <si>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</si>
  <si>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>User Story / Tarea</t>
  </si>
  <si>
    <t>Spring a Trabajar</t>
  </si>
  <si>
    <t xml:space="preserve">  ✔  Sin errores críticos en la integración con otros módulos</t>
  </si>
  <si>
    <t>Responsable</t>
  </si>
  <si>
    <t xml:space="preserve">  ✔  Desplegable con docker compose y demostrable en el Review</t>
  </si>
  <si>
    <t>SP Estimados</t>
  </si>
  <si>
    <t xml:space="preserve">  📌  Notas del Sprint</t>
  </si>
  <si>
    <t>SP Completados</t>
  </si>
  <si>
    <t>Escribe aquí los acuerdos e impedimentos del Sprint Planning...</t>
  </si>
  <si>
    <t>Estado</t>
  </si>
  <si>
    <t>Prioridad</t>
  </si>
  <si>
    <t>US-B1a</t>
  </si>
  <si>
    <t>Exchange de eventos operativo</t>
  </si>
  <si>
    <t>Carlos - Ángel - Adolfo - Eduardo</t>
  </si>
  <si>
    <t>Done</t>
  </si>
  <si>
    <t>Alta</t>
  </si>
  <si>
    <t>US-B1b</t>
  </si>
  <si>
    <t>libreria cliente de publicacion/suscripcion</t>
  </si>
  <si>
    <t>Ángel</t>
  </si>
  <si>
    <t>US-B2a</t>
  </si>
  <si>
    <t>Envelope: esquema y validación</t>
  </si>
  <si>
    <t>Carlos - Eduardo</t>
  </si>
  <si>
    <t>US-B2b</t>
  </si>
  <si>
    <t>Propagación correlationId/causationId</t>
  </si>
  <si>
    <t>Carlos</t>
  </si>
  <si>
    <t>Medio</t>
  </si>
  <si>
    <t>US-B3a</t>
  </si>
  <si>
    <t>Reintentos con backoff exponencial</t>
  </si>
  <si>
    <t>Ignacio</t>
  </si>
  <si>
    <t>US-B3b</t>
  </si>
  <si>
    <t>Dead-letter queue observable y reprocesable</t>
  </si>
  <si>
    <t>To Do</t>
  </si>
  <si>
    <t>US-B5a</t>
  </si>
  <si>
    <t>Outbox: persistencia transaccional del evento</t>
  </si>
  <si>
    <t>US-B5b</t>
  </si>
  <si>
    <t>Relay de publicación del outbox</t>
  </si>
  <si>
    <t>US-B6a</t>
  </si>
  <si>
    <t>Persistencia de eventos en el event store</t>
  </si>
  <si>
    <t>Eduardo</t>
  </si>
  <si>
    <t>US-B6b</t>
  </si>
  <si>
    <t>Consulta de trazabilidad por correlationId</t>
  </si>
  <si>
    <t>US-B7a</t>
  </si>
  <si>
    <t>Orquestación del flujo feliz de la saga</t>
  </si>
  <si>
    <t>US-B7b</t>
  </si>
  <si>
    <t>Compensaciones y timeouts de la saga</t>
  </si>
  <si>
    <t>US-B8a</t>
  </si>
  <si>
    <r>
      <rPr>
        <b/>
        <sz val="10"/>
        <color rgb="FF1A2E4A"/>
        <rFont val="Calibri"/>
      </rPr>
      <t>(Strech)</t>
    </r>
    <r>
      <rPr>
        <sz val="10"/>
        <color rgb="FF1A2E4A"/>
        <rFont val="Calibri"/>
      </rPr>
      <t xml:space="preserve"> Exportador de Métricas a Prometheus</t>
    </r>
  </si>
  <si>
    <t>Baja</t>
  </si>
  <si>
    <t>US-B8b</t>
  </si>
  <si>
    <r>
      <rPr>
        <b/>
        <sz val="10"/>
        <color rgb="FF1A2E4A"/>
        <rFont val="Calibri"/>
      </rPr>
      <t xml:space="preserve">(Strech) </t>
    </r>
    <r>
      <rPr>
        <sz val="10"/>
        <color rgb="FF1A2E4A"/>
        <rFont val="Calibri"/>
      </rPr>
      <t>Tableros de Observabilidad y Alertas</t>
    </r>
  </si>
  <si>
    <t>US-B9a</t>
  </si>
  <si>
    <r>
      <rPr>
        <b/>
        <sz val="10"/>
        <color rgb="FF1A2E4A"/>
        <rFont val="Calibri"/>
      </rPr>
      <t>(Strech)</t>
    </r>
    <r>
      <rPr>
        <sz val="10"/>
        <color rgb="FF1A2E4A"/>
        <rFont val="Calibri"/>
      </rPr>
      <t xml:space="preserve"> Implementación de Schema Registry Centralizado</t>
    </r>
  </si>
  <si>
    <t>US-B9b</t>
  </si>
  <si>
    <r>
      <rPr>
        <b/>
        <sz val="10"/>
        <color rgb="FF1A2E4A"/>
        <rFont val="Calibri"/>
      </rPr>
      <t xml:space="preserve">(Strech) </t>
    </r>
    <r>
      <rPr>
        <sz val="10"/>
        <color rgb="FF1A2E4A"/>
        <rFont val="Calibri"/>
      </rPr>
      <t>Soporte para Evolución y Compatibilidad de Esquemas</t>
    </r>
  </si>
  <si>
    <t>US-X1a</t>
  </si>
  <si>
    <t>Pipeline de CI Base: Linting y Pruebas automatizadas</t>
  </si>
  <si>
    <t>US-X1b</t>
  </si>
  <si>
    <t>Pipeline de CI: Construcción y Protección de ramas</t>
  </si>
  <si>
    <t>US-X2a</t>
  </si>
  <si>
    <t>Dockerfiles y configuración por entorno</t>
  </si>
  <si>
    <t>US-X2b</t>
  </si>
  <si>
    <t>Orquestación global y persistencia con Docker Compose</t>
  </si>
  <si>
    <t>US-X3a</t>
  </si>
  <si>
    <t>Generación de Documentación OpenAPI</t>
  </si>
  <si>
    <t>US-X3b</t>
  </si>
  <si>
    <t>Automatización de Pruebas de Contrato en CI</t>
  </si>
  <si>
    <t>TOTAL SP DEL SPRINT</t>
  </si>
  <si>
    <t>📉  Burndown Chart — Seguimiento por Sesión (Lun/Jue)</t>
  </si>
  <si>
    <t>Actualiza 'SP Completados Hoy' al final de cada Daily (lunes y jueves).</t>
  </si>
  <si>
    <t>Sesión</t>
  </si>
  <si>
    <t>Fecha</t>
  </si>
  <si>
    <t>SP Restantes (Ideal)</t>
  </si>
  <si>
    <t>SP Completados Hoy</t>
  </si>
  <si>
    <t>SP Acumulados</t>
  </si>
  <si>
    <t>SP Restantes (Real)</t>
  </si>
  <si>
    <t>Nota: la planificacion fue hecha para ser presentada el dia 10/09, por lo que los SP fueron hechos en base a eso.</t>
  </si>
  <si>
    <t>Spring</t>
  </si>
  <si>
    <t>Separador Sprint</t>
  </si>
  <si>
    <t>SP ideal (escalas)</t>
  </si>
  <si>
    <t>SP por sprint</t>
  </si>
  <si>
    <t>SP por sprint (reversa)</t>
  </si>
  <si>
    <t>*Receso universitario</t>
  </si>
  <si>
    <t>📊  Métricas del Sprint</t>
  </si>
  <si>
    <t>Estas métricas se calculan automáticamente desde el Backlog y la Configuración</t>
  </si>
  <si>
    <t xml:space="preserve">  🎯  Progreso del Sprint</t>
  </si>
  <si>
    <t>SP comprometidos</t>
  </si>
  <si>
    <t>Total de SP del Sprint Backlog</t>
  </si>
  <si>
    <t>SP completados</t>
  </si>
  <si>
    <t>SP en estado Done hasta hoy</t>
  </si>
  <si>
    <t>SP restantes</t>
  </si>
  <si>
    <t>SP que aún deben completarse</t>
  </si>
  <si>
    <t>% completado</t>
  </si>
  <si>
    <t>Avance real del sprint</t>
  </si>
  <si>
    <t>Historias Done</t>
  </si>
  <si>
    <t>Historias completadas</t>
  </si>
  <si>
    <t>Historias en progreso</t>
  </si>
  <si>
    <t>En desarrollo activo</t>
  </si>
  <si>
    <t xml:space="preserve">  ⚡  Velocidad y Predicción</t>
  </si>
  <si>
    <t>Velocidad sprint actual (real)</t>
  </si>
  <si>
    <t>SP completados en este sprint</t>
  </si>
  <si>
    <t>SP completados en sprint previo</t>
  </si>
  <si>
    <t>Variación de velocidad</t>
  </si>
  <si>
    <t>Positivo = mejora respecto al anterior</t>
  </si>
  <si>
    <t>SP/persona/sprint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</si>
  <si>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</si>
  <si>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</si>
  <si>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</si>
  <si>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</si>
  <si>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</si>
  <si>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</si>
  <si>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</si>
  <si>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</si>
  <si>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</si>
  <si>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</si>
  <si>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</si>
  <si>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</si>
  <si>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</si>
  <si>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</si>
  <si>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</si>
  <si>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</si>
  <si>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</si>
  <si>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</si>
  <si>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</si>
  <si>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</si>
  <si>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</si>
  <si>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SPI &lt; 0.7</t>
  </si>
  <si>
    <t>Atraso crítico — replanificar el sprint con el PO</t>
  </si>
  <si>
    <t>🔄  Retrospectiva del Sprint</t>
  </si>
  <si>
    <t>✅  KEEP — Lo que funcionó bien</t>
  </si>
  <si>
    <t xml:space="preserve">  •  Todas las funciones solicitadas por las historias de usuario fueron hechas dentro del tiempo establecido</t>
  </si>
  <si>
    <t>❌  DROP — Lo que hay que dejar de hacer</t>
  </si>
  <si>
    <t>🚀  TRY — Lo que queremos intentar</t>
  </si>
  <si>
    <t>📌  Acciones Concretas para el Próximo Sprint</t>
  </si>
  <si>
    <t>Acción</t>
  </si>
  <si>
    <t>Fecha límite</t>
  </si>
  <si>
    <t>planificacion de presentacion final</t>
  </si>
  <si>
    <t>Product owner</t>
  </si>
  <si>
    <t>Desarrollo de funcionalidades en base a historias de usuario</t>
  </si>
  <si>
    <t>desarrolladores</t>
  </si>
  <si>
    <t xml:space="preserve">verificacion de "Done" para cada historia de usuario </t>
  </si>
  <si>
    <t>Scrap master</t>
  </si>
  <si>
    <t>Contacto "entre modulos" para definir posibles convenciones u integraciones</t>
  </si>
  <si>
    <t>equipo completo</t>
  </si>
  <si>
    <t>US-B4a</t>
  </si>
  <si>
    <t>Persistencia y control de concurrencia de idempotencia</t>
  </si>
  <si>
    <t>Wrapper reutilizable, consumidor de prueba y documentación</t>
  </si>
  <si>
    <t>US-B4b</t>
  </si>
  <si>
    <t>Adolfo</t>
  </si>
  <si>
    <t>Adolfo - Carlos</t>
  </si>
  <si>
    <t>Adolfo - Carlos - Eduardo</t>
  </si>
  <si>
    <t>3 y 4</t>
  </si>
  <si>
    <t>Retrospectiva del Sprint 2</t>
  </si>
  <si>
    <t xml:space="preserve">  •  la mayoria de los SP se realizaron en las ultimas sesiones del sprint, lo que ajustó el tiempo para probar el gateway</t>
  </si>
  <si>
    <t xml:space="preserve">  •  mejorar la comunicación/coordinación con los demás módulos</t>
  </si>
  <si>
    <t xml:space="preserve">  •  hubo unas sesiones de retraso para hacer el planning por lo que no hubo mucho avance, ya que habia que reajustar la documentación del sprint 1</t>
  </si>
  <si>
    <t xml:space="preserve">  •  Hubo mayor cantidad de trabajo, lo cúal vino bien ya que este sprint era más grande que el anterior</t>
  </si>
  <si>
    <t xml:space="preserve">  •  redistribuir de mejor manera los SPs de las historias de usuario a lo largo del tiempo</t>
  </si>
  <si>
    <t>Sprint</t>
  </si>
  <si>
    <t>SP acumulado</t>
  </si>
  <si>
    <t>Story Points comprometidos (sprint)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</si>
</sst>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0.0"/>
    <numFmt numFmtId="166" formatCode="d/mm/yyyy"/>
    <numFmt numFmtId="167" formatCode="0.0%"/>
    <numFmt numFmtId="168" formatCode="\+#,##0;\-#,##0;0"/>
    <numFmt numFmtId="169" formatCode="dd/mm"/>
    <numFmt numFmtId="170" formatCode="d/m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sz val="10"/>
      <color rgb="FF64748B"/>
      <name val="Calibri"/>
    </font>
    <font>
      <b/>
      <sz val="11"/>
      <color rgb="FFFFFFFF"/>
      <name val="Calibri"/>
    </font>
    <font>
      <sz val="11"/>
      <color rgb="FF1A2E4A"/>
      <name val="Calibri"/>
    </font>
    <font>
      <b/>
      <sz val="11"/>
      <color rgb="FF1D5FA8"/>
      <name val="Calibri"/>
    </font>
    <font>
      <sz val="9"/>
      <color rgb="FF64748B"/>
      <name val="Calibri"/>
    </font>
    <font>
      <sz val="10"/>
      <color rgb="FF1E7E34"/>
      <name val="Calibri"/>
    </font>
    <font>
      <b/>
      <sz val="10"/>
      <color rgb="FF1A2E4A"/>
      <name val="Calibri"/>
    </font>
    <font>
      <sz val="10"/>
      <color rgb="FF1A2E4A"/>
      <name val="Calibri"/>
    </font>
    <font>
      <b/>
      <sz val="10"/>
      <color rgb="FF64748B"/>
      <name val="Calibri"/>
    </font>
    <font>
      <b/>
      <sz val="11"/>
      <color rgb="FF0D8A8A"/>
      <name val="Calibri"/>
    </font>
    <font>
      <b/>
      <sz val="10"/>
      <color rgb="FFB5232A"/>
      <name val="Calibri"/>
    </font>
    <font>
      <b/>
      <sz val="11"/>
      <color rgb="FFB5232A"/>
      <name val="Calibri"/>
    </font>
    <font>
      <b/>
      <sz val="13"/>
      <color rgb="FFFFFFFF"/>
      <name val="Calibri"/>
    </font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color rgb="FF1A2E4A"/>
      <name val="Calibri"/>
    </font>
    <font>
      <sz val="11"/>
      <color rgb="FF1E7E34"/>
      <name val="Calibri"/>
    </font>
    <font>
      <b/>
      <sz val="11"/>
      <color rgb="FFB5232A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2"/>
      <color rgb="FF1A2E4A"/>
      <name val="Calibri"/>
    </font>
    <font>
      <b/>
      <sz val="10"/>
      <color rgb="FF1E7E34"/>
      <name val="Calibri"/>
    </font>
    <font>
      <b/>
      <sz val="10"/>
      <color rgb="FF1D5FA8"/>
      <name val="Calibri"/>
    </font>
    <font>
      <b/>
      <sz val="10"/>
      <color rgb="FFD4860B"/>
      <name val="Calibri"/>
    </font>
    <font>
      <b/>
      <sz val="12"/>
      <color rgb="FFFFFFFF"/>
      <name val="Calibri"/>
    </font>
    <font>
      <sz val="11"/>
      <color rgb="FF64748B"/>
      <name val="Calibri"/>
    </font>
    <font>
      <sz val="11"/>
      <color rgb="FFD4860B"/>
      <name val="Calibri"/>
    </font>
    <font>
      <u/>
      <sz val="11"/>
      <color theme="1"/>
      <name val="Calibri"/>
      <family val="2"/>
      <scheme val="minor"/>
    </font>
    <font>
      <b/>
      <sz val="10"/>
      <color rgb="FF1A2E4A"/>
      <name val="Calibri"/>
      <family val="2"/>
    </font>
    <font>
      <sz val="10"/>
      <color rgb="FF64748B"/>
      <name val="Calibri"/>
      <family val="2"/>
    </font>
    <font>
      <b/>
      <sz val="10"/>
      <color rgb="FF64748B"/>
      <name val="Calibri"/>
      <family val="2"/>
    </font>
    <font>
      <sz val="8"/>
      <name val="Calibri"/>
      <family val="2"/>
      <scheme val="minor"/>
    </font>
    <font>
      <sz val="10"/>
      <color rgb="FF1A2E4A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FFFFFF"/>
        <bgColor rgb="FFFFFFFF"/>
      </patternFill>
    </fill>
    <fill>
      <patternFill patternType="solid">
        <fgColor rgb="FFE8F5EC"/>
        <bgColor rgb="FFE8F5EC"/>
      </patternFill>
    </fill>
    <fill>
      <patternFill patternType="solid">
        <fgColor rgb="FF0D8A8A"/>
        <bgColor rgb="FF0D8A8A"/>
      </patternFill>
    </fill>
    <fill>
      <patternFill patternType="solid">
        <fgColor rgb="FFD4860B"/>
        <bgColor rgb="FFD4860B"/>
      </patternFill>
    </fill>
    <fill>
      <patternFill patternType="solid">
        <fgColor rgb="FFE0F4F4"/>
        <bgColor rgb="FFE0F4F4"/>
      </patternFill>
    </fill>
    <fill>
      <patternFill patternType="solid">
        <fgColor rgb="FFB5232A"/>
        <bgColor rgb="FFB5232A"/>
      </patternFill>
    </fill>
    <fill>
      <patternFill patternType="solid">
        <fgColor rgb="FFE8F0FA"/>
        <bgColor rgb="FFE8F0FA"/>
      </patternFill>
    </fill>
    <fill>
      <patternFill patternType="solid">
        <fgColor rgb="FFFAEAEA"/>
        <bgColor rgb="FFFAEAEA"/>
      </patternFill>
    </fill>
    <fill>
      <patternFill patternType="solid">
        <fgColor rgb="FFFDF3E0"/>
        <bgColor rgb="FFFDF3E0"/>
      </patternFill>
    </fill>
    <fill>
      <patternFill patternType="solid">
        <fgColor rgb="FF1E7E34"/>
        <bgColor rgb="FF1E7E3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EE9"/>
      </left>
      <right/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6" fillId="3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7" fillId="11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17" fillId="0" borderId="0" xfId="0" applyFont="1" applyAlignment="1">
      <alignment horizontal="center"/>
    </xf>
    <xf numFmtId="0" fontId="18" fillId="2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165" fontId="7" fillId="11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17" fillId="0" borderId="0" xfId="0" applyFont="1"/>
    <xf numFmtId="0" fontId="18" fillId="10" borderId="14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left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23" fillId="5" borderId="0" xfId="0" applyFont="1" applyFill="1"/>
    <xf numFmtId="165" fontId="24" fillId="0" borderId="0" xfId="0" applyNumberFormat="1" applyFont="1"/>
    <xf numFmtId="0" fontId="23" fillId="5" borderId="0" xfId="0" applyFont="1" applyFill="1" applyAlignment="1">
      <alignment horizontal="center"/>
    </xf>
    <xf numFmtId="0" fontId="25" fillId="0" borderId="0" xfId="0" applyFont="1"/>
    <xf numFmtId="0" fontId="6" fillId="5" borderId="4" xfId="0" applyFont="1" applyFill="1" applyBorder="1" applyAlignment="1">
      <alignment horizontal="left" vertical="center"/>
    </xf>
    <xf numFmtId="3" fontId="26" fillId="11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167" fontId="26" fillId="11" borderId="4" xfId="0" applyNumberFormat="1" applyFont="1" applyFill="1" applyBorder="1" applyAlignment="1">
      <alignment horizontal="center" vertical="center"/>
    </xf>
    <xf numFmtId="168" fontId="26" fillId="11" borderId="4" xfId="0" applyNumberFormat="1" applyFont="1" applyFill="1" applyBorder="1" applyAlignment="1">
      <alignment horizontal="center" vertical="center"/>
    </xf>
    <xf numFmtId="165" fontId="26" fillId="11" borderId="4" xfId="0" applyNumberFormat="1" applyFont="1" applyFill="1" applyBorder="1" applyAlignment="1">
      <alignment horizontal="center" vertical="center"/>
    </xf>
    <xf numFmtId="2" fontId="26" fillId="11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/>
    </xf>
    <xf numFmtId="0" fontId="27" fillId="6" borderId="4" xfId="0" applyFont="1" applyFill="1" applyBorder="1" applyAlignment="1">
      <alignment horizontal="left" vertical="center"/>
    </xf>
    <xf numFmtId="0" fontId="28" fillId="11" borderId="4" xfId="0" applyFont="1" applyFill="1" applyBorder="1" applyAlignment="1">
      <alignment horizontal="left" vertical="center"/>
    </xf>
    <xf numFmtId="0" fontId="29" fillId="13" borderId="4" xfId="0" applyFont="1" applyFill="1" applyBorder="1" applyAlignment="1">
      <alignment horizontal="left" vertical="center"/>
    </xf>
    <xf numFmtId="0" fontId="14" fillId="12" borderId="4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8" fillId="7" borderId="5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31" fillId="5" borderId="5" xfId="0" applyFont="1" applyFill="1" applyBorder="1" applyAlignment="1">
      <alignment horizontal="center" vertical="center"/>
    </xf>
    <xf numFmtId="169" fontId="32" fillId="5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31" fillId="3" borderId="5" xfId="0" applyFont="1" applyFill="1" applyBorder="1" applyAlignment="1">
      <alignment horizontal="center" vertical="center"/>
    </xf>
    <xf numFmtId="169" fontId="32" fillId="3" borderId="5" xfId="0" applyNumberFormat="1" applyFont="1" applyFill="1" applyBorder="1" applyAlignment="1">
      <alignment horizontal="center" vertical="center"/>
    </xf>
    <xf numFmtId="170" fontId="32" fillId="3" borderId="5" xfId="0" applyNumberFormat="1" applyFont="1" applyFill="1" applyBorder="1" applyAlignment="1">
      <alignment horizontal="center" vertical="center"/>
    </xf>
    <xf numFmtId="0" fontId="33" fillId="0" borderId="0" xfId="0" applyFont="1"/>
    <xf numFmtId="0" fontId="1" fillId="0" borderId="0" xfId="0" applyFont="1"/>
    <xf numFmtId="0" fontId="34" fillId="5" borderId="5" xfId="0" applyFont="1" applyFill="1" applyBorder="1" applyAlignment="1">
      <alignment horizontal="center" vertical="center"/>
    </xf>
    <xf numFmtId="0" fontId="35" fillId="5" borderId="5" xfId="0" applyFont="1" applyFill="1" applyBorder="1" applyAlignment="1">
      <alignment horizontal="left" vertical="center"/>
    </xf>
    <xf numFmtId="0" fontId="36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5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1" fillId="13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top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2" borderId="1" xfId="0" applyFont="1" applyFill="1" applyBorder="1" applyAlignment="1">
      <alignment horizontal="left" vertical="center"/>
    </xf>
    <xf numFmtId="0" fontId="38" fillId="11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0" fillId="14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theme="9" tint="0.59996337778862885"/>
      </font>
      <fill>
        <patternFill>
          <bgColor rgb="FFFF6600"/>
        </patternFill>
      </fill>
    </dxf>
    <dxf>
      <font>
        <color theme="6" tint="-0.499984740745262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/>
        </patternFill>
      </fill>
    </dxf>
    <dxf>
      <font>
        <color theme="2"/>
      </font>
      <fill>
        <patternFill>
          <bgColor rgb="FFC00000"/>
        </patternFill>
      </fill>
    </dxf>
    <dxf>
      <font>
        <color theme="4" tint="0.79998168889431442"/>
      </font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ES" sz="1800" b="1" i="0">
                <a:solidFill>
                  <a:srgbClr val="000000"/>
                </a:solidFill>
                <a:latin typeface="Calibri"/>
              </a:rPr>
              <a:t>Burndown Chart — Avance SP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'📉 Burndown 1'!$I$3</c:f>
              <c:strCache>
                <c:ptCount val="1"/>
                <c:pt idx="0">
                  <c:v>Separador Sprint</c:v>
                </c:pt>
              </c:strCache>
            </c:strRef>
          </c:tx>
          <c:spPr>
            <a:solidFill>
              <a:schemeClr val="accent3"/>
            </a:solidFill>
            <a:ln w="9525" cmpd="sng">
              <a:noFill/>
              <a:prstDash val="solid"/>
            </a:ln>
          </c:spPr>
          <c:invertIfNegative val="0"/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1'!$I$4:$I$31</c:f>
              <c:numCache>
                <c:formatCode>General</c:formatCode>
                <c:ptCount val="28"/>
                <c:pt idx="5">
                  <c:v>76</c:v>
                </c:pt>
                <c:pt idx="11">
                  <c:v>76</c:v>
                </c:pt>
                <c:pt idx="17">
                  <c:v>76</c:v>
                </c:pt>
                <c:pt idx="24">
                  <c:v>76</c:v>
                </c:pt>
                <c:pt idx="2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E-4430-BDD6-E6782E78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088733"/>
        <c:axId val="1162651158"/>
      </c:barChart>
      <c:lineChart>
        <c:grouping val="standard"/>
        <c:varyColors val="1"/>
        <c:ser>
          <c:idx val="0"/>
          <c:order val="0"/>
          <c:tx>
            <c:v>SP Acumulado</c:v>
          </c:tx>
          <c:spPr>
            <a:ln w="19050" cmpd="sng">
              <a:solidFill>
                <a:srgbClr val="1E7E3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1'!$G$4:$G$31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E-4430-BDD6-E6782E781EA6}"/>
            </c:ext>
          </c:extLst>
        </c:ser>
        <c:ser>
          <c:idx val="1"/>
          <c:order val="1"/>
          <c:tx>
            <c:v>SP Esperado</c:v>
          </c:tx>
          <c:spPr>
            <a:ln w="19050" cmpd="sng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1'!$J$4:$J$31</c:f>
              <c:numCache>
                <c:formatCode>0.0</c:formatCode>
                <c:ptCount val="28"/>
                <c:pt idx="0">
                  <c:v>0</c:v>
                </c:pt>
                <c:pt idx="1">
                  <c:v>3.1666666666666665</c:v>
                </c:pt>
                <c:pt idx="2">
                  <c:v>6.333333333333333</c:v>
                </c:pt>
                <c:pt idx="3">
                  <c:v>9.5</c:v>
                </c:pt>
                <c:pt idx="4">
                  <c:v>12.666666666666666</c:v>
                </c:pt>
                <c:pt idx="5">
                  <c:v>15.833333333333334</c:v>
                </c:pt>
                <c:pt idx="6">
                  <c:v>19</c:v>
                </c:pt>
                <c:pt idx="7">
                  <c:v>22.166666666666668</c:v>
                </c:pt>
                <c:pt idx="8">
                  <c:v>25.333333333333332</c:v>
                </c:pt>
                <c:pt idx="9">
                  <c:v>28.5</c:v>
                </c:pt>
                <c:pt idx="10">
                  <c:v>31.666666666666668</c:v>
                </c:pt>
                <c:pt idx="11">
                  <c:v>34.833333333333336</c:v>
                </c:pt>
                <c:pt idx="12">
                  <c:v>38</c:v>
                </c:pt>
                <c:pt idx="13">
                  <c:v>41.166666666666664</c:v>
                </c:pt>
                <c:pt idx="14">
                  <c:v>44.333333333333336</c:v>
                </c:pt>
                <c:pt idx="15">
                  <c:v>47.5</c:v>
                </c:pt>
                <c:pt idx="16">
                  <c:v>50.666666666666664</c:v>
                </c:pt>
                <c:pt idx="17">
                  <c:v>53.833333333333336</c:v>
                </c:pt>
                <c:pt idx="18">
                  <c:v>57</c:v>
                </c:pt>
                <c:pt idx="19">
                  <c:v>60.166666666666664</c:v>
                </c:pt>
                <c:pt idx="20">
                  <c:v>63.333333333333336</c:v>
                </c:pt>
                <c:pt idx="21">
                  <c:v>66.5</c:v>
                </c:pt>
                <c:pt idx="22">
                  <c:v>69.666666666666671</c:v>
                </c:pt>
                <c:pt idx="23">
                  <c:v>72.833333333333329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1E-4430-BDD6-E6782E78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088733"/>
        <c:axId val="1162651158"/>
      </c:lineChart>
      <c:scatterChart>
        <c:scatterStyle val="lineMarker"/>
        <c:varyColors val="1"/>
        <c:ser>
          <c:idx val="3"/>
          <c:order val="3"/>
          <c:tx>
            <c:strRef>
              <c:f>'📉 Burndown 1'!$K$3</c:f>
              <c:strCache>
                <c:ptCount val="1"/>
                <c:pt idx="0">
                  <c:v>SP por sprint</c:v>
                </c:pt>
              </c:strCache>
            </c:strRef>
          </c:tx>
          <c:spPr>
            <a:ln w="47625" cmpd="sng">
              <a:noFill/>
              <a:prstDash val="solid"/>
            </a:ln>
          </c:spPr>
          <c:marker>
            <c:symbol val="circle"/>
            <c:size val="9"/>
          </c:marker>
          <c:xVal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'📉 Burndown 1'!$K$4:$K$31</c:f>
              <c:numCache>
                <c:formatCode>General</c:formatCode>
                <c:ptCount val="28"/>
                <c:pt idx="0">
                  <c:v>0</c:v>
                </c:pt>
                <c:pt idx="5">
                  <c:v>13</c:v>
                </c:pt>
                <c:pt idx="11">
                  <c:v>42</c:v>
                </c:pt>
                <c:pt idx="17">
                  <c:v>63</c:v>
                </c:pt>
                <c:pt idx="24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E-4430-BDD6-E6782E78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733"/>
        <c:axId val="1162651158"/>
      </c:scatterChart>
      <c:catAx>
        <c:axId val="585088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62651158"/>
        <c:crosses val="autoZero"/>
        <c:auto val="1"/>
        <c:lblAlgn val="ctr"/>
        <c:lblOffset val="100"/>
        <c:noMultiLvlLbl val="1"/>
      </c:catAx>
      <c:valAx>
        <c:axId val="1162651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508873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0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ES" sz="1800" b="1" i="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'📉 Burndown 1'!$I$3</c:f>
              <c:strCache>
                <c:ptCount val="1"/>
                <c:pt idx="0">
                  <c:v>Separador Sprint</c:v>
                </c:pt>
              </c:strCache>
            </c:strRef>
          </c:tx>
          <c:spPr>
            <a:solidFill>
              <a:schemeClr val="accent3"/>
            </a:solidFill>
            <a:ln w="9525" cmpd="sng">
              <a:noFill/>
              <a:prstDash val="solid"/>
            </a:ln>
          </c:spPr>
          <c:invertIfNegative val="0"/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1'!$I$4:$I$31</c:f>
              <c:numCache>
                <c:formatCode>General</c:formatCode>
                <c:ptCount val="28"/>
                <c:pt idx="5">
                  <c:v>76</c:v>
                </c:pt>
                <c:pt idx="11">
                  <c:v>76</c:v>
                </c:pt>
                <c:pt idx="17">
                  <c:v>76</c:v>
                </c:pt>
                <c:pt idx="24">
                  <c:v>76</c:v>
                </c:pt>
                <c:pt idx="2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1-48B0-B9A4-5A78A04B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293428"/>
        <c:axId val="2010429067"/>
      </c:barChart>
      <c:lineChart>
        <c:grouping val="standard"/>
        <c:varyColors val="1"/>
        <c:ser>
          <c:idx val="0"/>
          <c:order val="0"/>
          <c:tx>
            <c:v>SP Restantes (Ideal)</c:v>
          </c:tx>
          <c:spPr>
            <a:ln w="19050" cmpd="sng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1'!$E$4:$E$31</c:f>
              <c:numCache>
                <c:formatCode>0.0</c:formatCode>
                <c:ptCount val="28"/>
                <c:pt idx="0">
                  <c:v>76</c:v>
                </c:pt>
                <c:pt idx="1">
                  <c:v>72.833333333333329</c:v>
                </c:pt>
                <c:pt idx="2">
                  <c:v>69.666666666666671</c:v>
                </c:pt>
                <c:pt idx="3">
                  <c:v>66.5</c:v>
                </c:pt>
                <c:pt idx="4">
                  <c:v>63.333333333333336</c:v>
                </c:pt>
                <c:pt idx="5">
                  <c:v>60.166666666666664</c:v>
                </c:pt>
                <c:pt idx="6">
                  <c:v>57</c:v>
                </c:pt>
                <c:pt idx="7">
                  <c:v>53.833333333333336</c:v>
                </c:pt>
                <c:pt idx="8">
                  <c:v>50.666666666666664</c:v>
                </c:pt>
                <c:pt idx="9">
                  <c:v>47.5</c:v>
                </c:pt>
                <c:pt idx="10">
                  <c:v>44.333333333333336</c:v>
                </c:pt>
                <c:pt idx="11">
                  <c:v>41.166666666666664</c:v>
                </c:pt>
                <c:pt idx="12">
                  <c:v>38</c:v>
                </c:pt>
                <c:pt idx="13">
                  <c:v>34.833333333333336</c:v>
                </c:pt>
                <c:pt idx="14">
                  <c:v>31.666666666666668</c:v>
                </c:pt>
                <c:pt idx="15">
                  <c:v>28.5</c:v>
                </c:pt>
                <c:pt idx="16">
                  <c:v>25.333333333333332</c:v>
                </c:pt>
                <c:pt idx="17">
                  <c:v>22.166666666666668</c:v>
                </c:pt>
                <c:pt idx="18">
                  <c:v>19</c:v>
                </c:pt>
                <c:pt idx="19">
                  <c:v>15.833333333333334</c:v>
                </c:pt>
                <c:pt idx="20">
                  <c:v>12.666666666666666</c:v>
                </c:pt>
                <c:pt idx="21">
                  <c:v>9.5</c:v>
                </c:pt>
                <c:pt idx="22">
                  <c:v>6.333333333333333</c:v>
                </c:pt>
                <c:pt idx="23">
                  <c:v>3.1666666666666665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1-48B0-B9A4-5A78A04B0A67}"/>
            </c:ext>
          </c:extLst>
        </c:ser>
        <c:ser>
          <c:idx val="1"/>
          <c:order val="1"/>
          <c:tx>
            <c:v>SP Restantes (Real)</c:v>
          </c:tx>
          <c:spPr>
            <a:ln w="19050" cmpd="sng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1'!$H$4:$H$31</c:f>
              <c:numCache>
                <c:formatCode>General</c:formatCode>
                <c:ptCount val="28"/>
                <c:pt idx="0">
                  <c:v>76</c:v>
                </c:pt>
                <c:pt idx="1">
                  <c:v>76</c:v>
                </c:pt>
                <c:pt idx="2">
                  <c:v>71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1-48B0-B9A4-5A78A04B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293428"/>
        <c:axId val="2010429067"/>
      </c:lineChart>
      <c:scatterChart>
        <c:scatterStyle val="lineMarker"/>
        <c:varyColors val="1"/>
        <c:ser>
          <c:idx val="3"/>
          <c:order val="3"/>
          <c:tx>
            <c:v>SP por sprint</c:v>
          </c:tx>
          <c:spPr>
            <a:ln>
              <a:noFill/>
            </a:ln>
          </c:spPr>
          <c:marker>
            <c:symbol val="circle"/>
            <c:size val="9"/>
          </c:marker>
          <c:xVal>
            <c:numRef>
              <c:f>'📉 Burndown 1'!$B$4:$B$31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'📉 Burndown 1'!$L$4:$L$31</c:f>
              <c:numCache>
                <c:formatCode>General</c:formatCode>
                <c:ptCount val="28"/>
                <c:pt idx="0">
                  <c:v>76</c:v>
                </c:pt>
                <c:pt idx="5">
                  <c:v>63</c:v>
                </c:pt>
                <c:pt idx="11">
                  <c:v>42</c:v>
                </c:pt>
                <c:pt idx="17">
                  <c:v>13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1-48B0-B9A4-5A78A04B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93428"/>
        <c:axId val="2010429067"/>
      </c:scatterChart>
      <c:catAx>
        <c:axId val="696293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10429067"/>
        <c:crosses val="autoZero"/>
        <c:auto val="1"/>
        <c:lblAlgn val="ctr"/>
        <c:lblOffset val="100"/>
        <c:noMultiLvlLbl val="1"/>
      </c:catAx>
      <c:valAx>
        <c:axId val="2010429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6293428"/>
        <c:crosses val="autoZero"/>
        <c:crossBetween val="between"/>
      </c:valAx>
    </c:plotArea>
    <c:legend>
      <c:legendPos val="t"/>
      <c:overlay val="0"/>
    </c:legend>
    <c:plotVisOnly val="0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ES" sz="1800" b="1" i="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'📉 Burndown 2'!$I$3</c:f>
              <c:strCache>
                <c:ptCount val="1"/>
                <c:pt idx="0">
                  <c:v>Separador Sprint</c:v>
                </c:pt>
              </c:strCache>
            </c:strRef>
          </c:tx>
          <c:spPr>
            <a:solidFill>
              <a:schemeClr val="accent3"/>
            </a:solidFill>
            <a:ln w="9525" cmpd="sng">
              <a:noFill/>
              <a:prstDash val="solid"/>
            </a:ln>
          </c:spPr>
          <c:invertIfNegative val="0"/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2'!$I$4:$I$31</c:f>
              <c:numCache>
                <c:formatCode>General</c:formatCode>
                <c:ptCount val="28"/>
                <c:pt idx="5">
                  <c:v>76</c:v>
                </c:pt>
                <c:pt idx="11">
                  <c:v>76</c:v>
                </c:pt>
                <c:pt idx="17">
                  <c:v>76</c:v>
                </c:pt>
                <c:pt idx="24">
                  <c:v>76</c:v>
                </c:pt>
                <c:pt idx="2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5-41E2-BFF7-823852D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841297"/>
        <c:axId val="1248384411"/>
      </c:barChart>
      <c:lineChart>
        <c:grouping val="standard"/>
        <c:varyColors val="1"/>
        <c:ser>
          <c:idx val="0"/>
          <c:order val="0"/>
          <c:tx>
            <c:v>SP Restantes (Ideal)</c:v>
          </c:tx>
          <c:spPr>
            <a:ln w="19050" cmpd="sng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2'!$E$4:$E$31</c:f>
              <c:numCache>
                <c:formatCode>0.0</c:formatCode>
                <c:ptCount val="28"/>
                <c:pt idx="0">
                  <c:v>76</c:v>
                </c:pt>
                <c:pt idx="1">
                  <c:v>72.833333333333329</c:v>
                </c:pt>
                <c:pt idx="2">
                  <c:v>69.666666666666671</c:v>
                </c:pt>
                <c:pt idx="3">
                  <c:v>66.5</c:v>
                </c:pt>
                <c:pt idx="4">
                  <c:v>63.333333333333336</c:v>
                </c:pt>
                <c:pt idx="5">
                  <c:v>60.166666666666664</c:v>
                </c:pt>
                <c:pt idx="6">
                  <c:v>57</c:v>
                </c:pt>
                <c:pt idx="7">
                  <c:v>53.833333333333336</c:v>
                </c:pt>
                <c:pt idx="8">
                  <c:v>50.666666666666664</c:v>
                </c:pt>
                <c:pt idx="9">
                  <c:v>47.5</c:v>
                </c:pt>
                <c:pt idx="10">
                  <c:v>44.333333333333336</c:v>
                </c:pt>
                <c:pt idx="11">
                  <c:v>41.166666666666664</c:v>
                </c:pt>
                <c:pt idx="12">
                  <c:v>38</c:v>
                </c:pt>
                <c:pt idx="13">
                  <c:v>34.833333333333336</c:v>
                </c:pt>
                <c:pt idx="14">
                  <c:v>31.666666666666668</c:v>
                </c:pt>
                <c:pt idx="15">
                  <c:v>28.5</c:v>
                </c:pt>
                <c:pt idx="16">
                  <c:v>25.333333333333332</c:v>
                </c:pt>
                <c:pt idx="17">
                  <c:v>22.166666666666668</c:v>
                </c:pt>
                <c:pt idx="18">
                  <c:v>19</c:v>
                </c:pt>
                <c:pt idx="19">
                  <c:v>15.833333333333334</c:v>
                </c:pt>
                <c:pt idx="20">
                  <c:v>12.666666666666666</c:v>
                </c:pt>
                <c:pt idx="21">
                  <c:v>9.5</c:v>
                </c:pt>
                <c:pt idx="22">
                  <c:v>6.333333333333333</c:v>
                </c:pt>
                <c:pt idx="23">
                  <c:v>3.1666666666666665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5-41E2-BFF7-823852D95C18}"/>
            </c:ext>
          </c:extLst>
        </c:ser>
        <c:ser>
          <c:idx val="1"/>
          <c:order val="1"/>
          <c:tx>
            <c:v>SP Restantes (Real)</c:v>
          </c:tx>
          <c:spPr>
            <a:ln w="19050" cmpd="sng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2'!$H$4:$H$31</c:f>
              <c:numCache>
                <c:formatCode>General</c:formatCode>
                <c:ptCount val="28"/>
                <c:pt idx="0">
                  <c:v>76</c:v>
                </c:pt>
                <c:pt idx="1">
                  <c:v>76</c:v>
                </c:pt>
                <c:pt idx="2">
                  <c:v>71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49</c:v>
                </c:pt>
                <c:pt idx="9">
                  <c:v>49</c:v>
                </c:pt>
                <c:pt idx="10">
                  <c:v>41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45-41E2-BFF7-823852D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41297"/>
        <c:axId val="1248384411"/>
      </c:lineChart>
      <c:scatterChart>
        <c:scatterStyle val="lineMarker"/>
        <c:varyColors val="1"/>
        <c:ser>
          <c:idx val="3"/>
          <c:order val="3"/>
          <c:tx>
            <c:v>SP por sprint</c:v>
          </c:tx>
          <c:spPr>
            <a:ln w="47625" cmpd="sng">
              <a:noFill/>
              <a:prstDash val="solid"/>
            </a:ln>
          </c:spPr>
          <c:marker>
            <c:symbol val="circle"/>
            <c:size val="9"/>
          </c:marker>
          <c:xVal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'📉 Burndown 2'!$L$4:$L$31</c:f>
              <c:numCache>
                <c:formatCode>General</c:formatCode>
                <c:ptCount val="28"/>
                <c:pt idx="0">
                  <c:v>76</c:v>
                </c:pt>
                <c:pt idx="5">
                  <c:v>63</c:v>
                </c:pt>
                <c:pt idx="11">
                  <c:v>34</c:v>
                </c:pt>
                <c:pt idx="17">
                  <c:v>13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5-41E2-BFF7-823852D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41297"/>
        <c:axId val="1248384411"/>
      </c:scatterChart>
      <c:catAx>
        <c:axId val="165841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48384411"/>
        <c:crosses val="autoZero"/>
        <c:auto val="1"/>
        <c:lblAlgn val="ctr"/>
        <c:lblOffset val="100"/>
        <c:noMultiLvlLbl val="1"/>
      </c:catAx>
      <c:valAx>
        <c:axId val="1248384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584129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0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ES" sz="1800" b="1" i="0">
                <a:solidFill>
                  <a:srgbClr val="000000"/>
                </a:solidFill>
                <a:latin typeface="Calibri"/>
              </a:rPr>
              <a:t>Burndown Chart — Avance SP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'📉 Burndown 2'!$I$3</c:f>
              <c:strCache>
                <c:ptCount val="1"/>
                <c:pt idx="0">
                  <c:v>Separador Sprint</c:v>
                </c:pt>
              </c:strCache>
            </c:strRef>
          </c:tx>
          <c:spPr>
            <a:solidFill>
              <a:schemeClr val="accent3"/>
            </a:solidFill>
            <a:ln w="9525" cmpd="sng">
              <a:noFill/>
              <a:prstDash val="solid"/>
            </a:ln>
          </c:spPr>
          <c:invertIfNegative val="0"/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2'!$I$4:$I$31</c:f>
              <c:numCache>
                <c:formatCode>General</c:formatCode>
                <c:ptCount val="28"/>
                <c:pt idx="5">
                  <c:v>76</c:v>
                </c:pt>
                <c:pt idx="11">
                  <c:v>76</c:v>
                </c:pt>
                <c:pt idx="17">
                  <c:v>76</c:v>
                </c:pt>
                <c:pt idx="24">
                  <c:v>76</c:v>
                </c:pt>
                <c:pt idx="2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A-4191-8397-5CE1ECA6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247466"/>
        <c:axId val="327254709"/>
      </c:barChart>
      <c:lineChart>
        <c:grouping val="standard"/>
        <c:varyColors val="1"/>
        <c:ser>
          <c:idx val="0"/>
          <c:order val="0"/>
          <c:tx>
            <c:v>SP Acumulado</c:v>
          </c:tx>
          <c:spPr>
            <a:ln w="19050" cmpd="sng">
              <a:solidFill>
                <a:srgbClr val="1E7E3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2'!$G$4:$G$31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27</c:v>
                </c:pt>
                <c:pt idx="9">
                  <c:v>27</c:v>
                </c:pt>
                <c:pt idx="10">
                  <c:v>35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A-4191-8397-5CE1ECA66CB8}"/>
            </c:ext>
          </c:extLst>
        </c:ser>
        <c:ser>
          <c:idx val="1"/>
          <c:order val="1"/>
          <c:tx>
            <c:v>SP Esperado</c:v>
          </c:tx>
          <c:spPr>
            <a:ln w="19050" cmpd="sng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'📉 Burndown 2'!$J$4:$J$31</c:f>
              <c:numCache>
                <c:formatCode>0.0</c:formatCode>
                <c:ptCount val="28"/>
                <c:pt idx="0">
                  <c:v>0</c:v>
                </c:pt>
                <c:pt idx="1">
                  <c:v>3.1666666666666665</c:v>
                </c:pt>
                <c:pt idx="2">
                  <c:v>6.333333333333333</c:v>
                </c:pt>
                <c:pt idx="3">
                  <c:v>9.5</c:v>
                </c:pt>
                <c:pt idx="4">
                  <c:v>12.666666666666666</c:v>
                </c:pt>
                <c:pt idx="5">
                  <c:v>15.833333333333334</c:v>
                </c:pt>
                <c:pt idx="6">
                  <c:v>19</c:v>
                </c:pt>
                <c:pt idx="7">
                  <c:v>22.166666666666668</c:v>
                </c:pt>
                <c:pt idx="8">
                  <c:v>25.333333333333332</c:v>
                </c:pt>
                <c:pt idx="9">
                  <c:v>28.5</c:v>
                </c:pt>
                <c:pt idx="10">
                  <c:v>31.666666666666668</c:v>
                </c:pt>
                <c:pt idx="11">
                  <c:v>34.833333333333336</c:v>
                </c:pt>
                <c:pt idx="12">
                  <c:v>38</c:v>
                </c:pt>
                <c:pt idx="13">
                  <c:v>41.166666666666664</c:v>
                </c:pt>
                <c:pt idx="14">
                  <c:v>44.333333333333336</c:v>
                </c:pt>
                <c:pt idx="15">
                  <c:v>47.5</c:v>
                </c:pt>
                <c:pt idx="16">
                  <c:v>50.666666666666664</c:v>
                </c:pt>
                <c:pt idx="17">
                  <c:v>53.833333333333336</c:v>
                </c:pt>
                <c:pt idx="18">
                  <c:v>57</c:v>
                </c:pt>
                <c:pt idx="19">
                  <c:v>60.166666666666664</c:v>
                </c:pt>
                <c:pt idx="20">
                  <c:v>63.333333333333336</c:v>
                </c:pt>
                <c:pt idx="21">
                  <c:v>66.5</c:v>
                </c:pt>
                <c:pt idx="22">
                  <c:v>69.666666666666671</c:v>
                </c:pt>
                <c:pt idx="23">
                  <c:v>72.833333333333329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1A-4191-8397-5CE1ECA6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247466"/>
        <c:axId val="327254709"/>
      </c:lineChart>
      <c:scatterChart>
        <c:scatterStyle val="lineMarker"/>
        <c:varyColors val="1"/>
        <c:ser>
          <c:idx val="3"/>
          <c:order val="3"/>
          <c:tx>
            <c:strRef>
              <c:f>'📉 Burndown 2'!$K$3</c:f>
              <c:strCache>
                <c:ptCount val="1"/>
                <c:pt idx="0">
                  <c:v>SP por sprint</c:v>
                </c:pt>
              </c:strCache>
            </c:strRef>
          </c:tx>
          <c:spPr>
            <a:ln w="47625" cmpd="sng">
              <a:noFill/>
              <a:prstDash val="solid"/>
            </a:ln>
          </c:spPr>
          <c:marker>
            <c:symbol val="circle"/>
            <c:size val="9"/>
          </c:marker>
          <c:xVal>
            <c:numRef>
              <c:f>'📉 Burndown 2'!$B$4:$B$31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'📉 Burndown 2'!$K$4:$K$31</c:f>
              <c:numCache>
                <c:formatCode>General</c:formatCode>
                <c:ptCount val="28"/>
                <c:pt idx="0">
                  <c:v>0</c:v>
                </c:pt>
                <c:pt idx="5">
                  <c:v>13</c:v>
                </c:pt>
                <c:pt idx="11">
                  <c:v>42</c:v>
                </c:pt>
                <c:pt idx="17">
                  <c:v>63</c:v>
                </c:pt>
                <c:pt idx="24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A-4191-8397-5CE1ECA6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247466"/>
        <c:axId val="327254709"/>
      </c:scatterChart>
      <c:catAx>
        <c:axId val="1015247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27254709"/>
        <c:crosses val="autoZero"/>
        <c:auto val="1"/>
        <c:lblAlgn val="ctr"/>
        <c:lblOffset val="100"/>
        <c:noMultiLvlLbl val="1"/>
      </c:catAx>
      <c:valAx>
        <c:axId val="327254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15247466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0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22</xdr:row>
      <xdr:rowOff>180975</xdr:rowOff>
    </xdr:from>
    <xdr:ext cx="5791200" cy="3209925"/>
    <xdr:graphicFrame macro="">
      <xdr:nvGraphicFramePr>
        <xdr:cNvPr id="861061915" name="Chart 2" title="Gráfico">
          <a:extLst>
            <a:ext uri="{FF2B5EF4-FFF2-40B4-BE49-F238E27FC236}">
              <a16:creationId xmlns:a16="http://schemas.microsoft.com/office/drawing/2014/main" id="{00000000-0008-0000-0300-00001BC35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9</xdr:row>
      <xdr:rowOff>171450</xdr:rowOff>
    </xdr:from>
    <xdr:ext cx="5791200" cy="3209925"/>
    <xdr:graphicFrame macro="">
      <xdr:nvGraphicFramePr>
        <xdr:cNvPr id="1676293671" name="Chart 3" title="Gráfico">
          <a:extLst>
            <a:ext uri="{FF2B5EF4-FFF2-40B4-BE49-F238E27FC236}">
              <a16:creationId xmlns:a16="http://schemas.microsoft.com/office/drawing/2014/main" id="{00000000-0008-0000-0300-00002736E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488156</xdr:colOff>
      <xdr:row>2</xdr:row>
      <xdr:rowOff>171450</xdr:rowOff>
    </xdr:from>
    <xdr:ext cx="5791200" cy="3209925"/>
    <xdr:graphicFrame macro="">
      <xdr:nvGraphicFramePr>
        <xdr:cNvPr id="831418297" name="Chart 4" title="Gráfico">
          <a:extLst>
            <a:ext uri="{FF2B5EF4-FFF2-40B4-BE49-F238E27FC236}">
              <a16:creationId xmlns:a16="http://schemas.microsoft.com/office/drawing/2014/main" id="{00000000-0008-0000-0400-0000B96F8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488156</xdr:colOff>
      <xdr:row>14</xdr:row>
      <xdr:rowOff>73819</xdr:rowOff>
    </xdr:from>
    <xdr:ext cx="5791200" cy="3209925"/>
    <xdr:graphicFrame macro="">
      <xdr:nvGraphicFramePr>
        <xdr:cNvPr id="823006606" name="Chart 5" title="Gráfico">
          <a:extLst>
            <a:ext uri="{FF2B5EF4-FFF2-40B4-BE49-F238E27FC236}">
              <a16:creationId xmlns:a16="http://schemas.microsoft.com/office/drawing/2014/main" id="{00000000-0008-0000-0400-00008E150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1"/>
  <sheetViews>
    <sheetView showGridLines="0" topLeftCell="A3" workbookViewId="0">
      <selection activeCell="F13" sqref="F13"/>
    </sheetView>
  </sheetViews>
  <sheetFormatPr baseColWidth="10" defaultColWidth="14.42578125" defaultRowHeight="15" customHeight="1" x14ac:dyDescent="0.25"/>
  <cols>
    <col min="1" max="1" width="3" customWidth="1"/>
    <col min="2" max="2" width="33.85546875" customWidth="1"/>
    <col min="3" max="3" width="22" customWidth="1"/>
    <col min="4" max="4" width="28.5703125" customWidth="1"/>
    <col min="5" max="5" width="3" customWidth="1"/>
    <col min="6" max="26" width="8.7109375" customWidth="1"/>
  </cols>
  <sheetData>
    <row r="1" spans="2:4" ht="21" x14ac:dyDescent="0.25">
      <c r="B1" s="79" t="s">
        <v>0</v>
      </c>
      <c r="C1" s="75"/>
      <c r="D1" s="76"/>
    </row>
    <row r="2" spans="2:4" x14ac:dyDescent="0.25">
      <c r="B2" s="80" t="s">
        <v>1</v>
      </c>
      <c r="C2" s="75"/>
      <c r="D2" s="76"/>
    </row>
    <row r="3" spans="2:4" x14ac:dyDescent="0.25">
      <c r="B3" s="81" t="s">
        <v>2</v>
      </c>
      <c r="C3" s="75"/>
      <c r="D3" s="76"/>
    </row>
    <row r="4" spans="2:4" ht="19.5" customHeight="1" x14ac:dyDescent="0.25">
      <c r="B4" s="1" t="s">
        <v>3</v>
      </c>
      <c r="C4" s="2" t="s">
        <v>4</v>
      </c>
      <c r="D4" s="3"/>
    </row>
    <row r="5" spans="2:4" ht="19.5" customHeight="1" x14ac:dyDescent="0.25">
      <c r="B5" s="1" t="s">
        <v>5</v>
      </c>
      <c r="C5" s="2">
        <v>2</v>
      </c>
      <c r="D5" s="3"/>
    </row>
    <row r="6" spans="2:4" ht="19.5" customHeight="1" x14ac:dyDescent="0.25">
      <c r="B6" s="1" t="s">
        <v>6</v>
      </c>
      <c r="C6" s="2" t="s">
        <v>7</v>
      </c>
      <c r="D6" s="3"/>
    </row>
    <row r="7" spans="2:4" ht="19.5" customHeight="1" x14ac:dyDescent="0.25">
      <c r="B7" s="1" t="s">
        <v>8</v>
      </c>
      <c r="C7" s="4">
        <v>46286</v>
      </c>
      <c r="D7" s="3"/>
    </row>
    <row r="8" spans="2:4" ht="19.5" customHeight="1" x14ac:dyDescent="0.25">
      <c r="B8" s="1" t="s">
        <v>9</v>
      </c>
      <c r="C8" s="4">
        <v>46303</v>
      </c>
      <c r="D8" s="3"/>
    </row>
    <row r="9" spans="2:4" ht="19.5" customHeight="1" x14ac:dyDescent="0.25">
      <c r="B9" s="1" t="s">
        <v>10</v>
      </c>
      <c r="C9" s="2">
        <v>6</v>
      </c>
      <c r="D9" s="3"/>
    </row>
    <row r="10" spans="2:4" ht="19.5" customHeight="1" x14ac:dyDescent="0.25">
      <c r="B10" s="1" t="s">
        <v>180</v>
      </c>
      <c r="C10" s="72">
        <v>29</v>
      </c>
      <c r="D10" s="73"/>
    </row>
    <row r="11" spans="2:4" ht="19.5" customHeight="1" x14ac:dyDescent="0.25">
      <c r="B11" s="1" t="s">
        <v>11</v>
      </c>
      <c r="C11" s="2">
        <f>'📋 Sprint Backlog'!F28</f>
        <v>76</v>
      </c>
      <c r="D11" s="3"/>
    </row>
    <row r="12" spans="2:4" ht="19.5" customHeight="1" x14ac:dyDescent="0.25">
      <c r="B12" s="1" t="s">
        <v>14</v>
      </c>
      <c r="C12" s="2">
        <v>16</v>
      </c>
      <c r="D12" s="3"/>
    </row>
    <row r="13" spans="2:4" ht="19.5" customHeight="1" x14ac:dyDescent="0.25">
      <c r="B13" s="1" t="s">
        <v>15</v>
      </c>
      <c r="C13" s="2">
        <v>5</v>
      </c>
      <c r="D13" s="3"/>
    </row>
    <row r="14" spans="2:4" x14ac:dyDescent="0.25">
      <c r="B14" s="81" t="s">
        <v>16</v>
      </c>
      <c r="C14" s="75"/>
      <c r="D14" s="76"/>
    </row>
    <row r="15" spans="2:4" x14ac:dyDescent="0.25">
      <c r="B15" s="86" t="s">
        <v>17</v>
      </c>
      <c r="C15" s="75"/>
      <c r="D15" s="76"/>
    </row>
    <row r="16" spans="2:4" x14ac:dyDescent="0.25">
      <c r="B16" s="86" t="s">
        <v>19</v>
      </c>
      <c r="C16" s="75"/>
      <c r="D16" s="76"/>
    </row>
    <row r="17" spans="2:4" x14ac:dyDescent="0.25">
      <c r="B17" s="86" t="s">
        <v>20</v>
      </c>
      <c r="C17" s="75"/>
      <c r="D17" s="76"/>
    </row>
    <row r="18" spans="2:4" x14ac:dyDescent="0.25">
      <c r="B18" s="86" t="s">
        <v>23</v>
      </c>
      <c r="C18" s="75"/>
      <c r="D18" s="76"/>
    </row>
    <row r="19" spans="2:4" x14ac:dyDescent="0.25">
      <c r="B19" s="86" t="s">
        <v>25</v>
      </c>
      <c r="C19" s="75"/>
      <c r="D19" s="76"/>
    </row>
    <row r="20" spans="2:4" x14ac:dyDescent="0.25">
      <c r="B20" s="82" t="s">
        <v>27</v>
      </c>
      <c r="C20" s="75"/>
      <c r="D20" s="76"/>
    </row>
    <row r="21" spans="2:4" ht="15" customHeight="1" x14ac:dyDescent="0.25">
      <c r="B21" s="87" t="s">
        <v>29</v>
      </c>
      <c r="C21" s="88"/>
      <c r="D21" s="89"/>
    </row>
    <row r="22" spans="2:4" ht="15.75" customHeight="1" x14ac:dyDescent="0.25">
      <c r="B22" s="90"/>
      <c r="C22" s="91"/>
      <c r="D22" s="92"/>
    </row>
    <row r="23" spans="2:4" ht="15.75" customHeight="1" x14ac:dyDescent="0.25">
      <c r="B23" s="90"/>
      <c r="C23" s="91"/>
      <c r="D23" s="92"/>
    </row>
    <row r="24" spans="2:4" ht="15.75" customHeight="1" x14ac:dyDescent="0.25">
      <c r="B24" s="93"/>
      <c r="C24" s="94"/>
      <c r="D24" s="95"/>
    </row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1">
    <mergeCell ref="B18:D18"/>
    <mergeCell ref="B19:D19"/>
    <mergeCell ref="B20:D20"/>
    <mergeCell ref="B21:D24"/>
    <mergeCell ref="B1:D1"/>
    <mergeCell ref="B2:D2"/>
    <mergeCell ref="B3:D3"/>
    <mergeCell ref="B14:D14"/>
    <mergeCell ref="B15:D15"/>
    <mergeCell ref="B16:D16"/>
    <mergeCell ref="B17:D1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8"/>
  <sheetViews>
    <sheetView showGridLines="0" zoomScaleNormal="10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baseColWidth="10" defaultColWidth="14.42578125" defaultRowHeight="15" customHeight="1" x14ac:dyDescent="0.25"/>
  <cols>
    <col min="1" max="1" width="3" customWidth="1"/>
    <col min="2" max="2" width="9" customWidth="1"/>
    <col min="3" max="3" width="74.42578125" customWidth="1"/>
    <col min="4" max="4" width="15.7109375" customWidth="1"/>
    <col min="5" max="5" width="26.140625" customWidth="1"/>
    <col min="6" max="6" width="14.85546875" customWidth="1"/>
    <col min="7" max="7" width="17.85546875" customWidth="1"/>
    <col min="8" max="8" width="14.42578125" customWidth="1"/>
    <col min="9" max="9" width="10.28515625" customWidth="1"/>
    <col min="10" max="27" width="8.7109375" customWidth="1"/>
  </cols>
  <sheetData>
    <row r="1" spans="2:11" ht="21" x14ac:dyDescent="0.25">
      <c r="B1" s="79" t="s">
        <v>12</v>
      </c>
      <c r="C1" s="75"/>
      <c r="D1" s="75"/>
      <c r="E1" s="75"/>
      <c r="F1" s="75"/>
      <c r="G1" s="75"/>
      <c r="H1" s="75"/>
      <c r="I1" s="76"/>
    </row>
    <row r="2" spans="2:11" x14ac:dyDescent="0.25">
      <c r="B2" s="80" t="s">
        <v>13</v>
      </c>
      <c r="C2" s="75"/>
      <c r="D2" s="75"/>
      <c r="E2" s="75"/>
      <c r="F2" s="75"/>
      <c r="G2" s="75"/>
      <c r="H2" s="75"/>
      <c r="I2" s="76"/>
    </row>
    <row r="3" spans="2:11" ht="25.5" customHeight="1" x14ac:dyDescent="0.25">
      <c r="B3" s="5" t="s">
        <v>18</v>
      </c>
      <c r="C3" s="5" t="s">
        <v>21</v>
      </c>
      <c r="D3" s="5" t="s">
        <v>22</v>
      </c>
      <c r="E3" s="5" t="s">
        <v>24</v>
      </c>
      <c r="F3" s="6" t="s">
        <v>26</v>
      </c>
      <c r="G3" s="7" t="s">
        <v>28</v>
      </c>
      <c r="H3" s="8" t="s">
        <v>30</v>
      </c>
      <c r="I3" s="9" t="s">
        <v>31</v>
      </c>
    </row>
    <row r="4" spans="2:11" ht="30" customHeight="1" x14ac:dyDescent="0.25">
      <c r="B4" s="10" t="s">
        <v>32</v>
      </c>
      <c r="C4" s="11" t="s">
        <v>33</v>
      </c>
      <c r="D4" s="12">
        <v>1</v>
      </c>
      <c r="E4" s="13" t="s">
        <v>34</v>
      </c>
      <c r="F4" s="14">
        <v>5</v>
      </c>
      <c r="G4" s="15">
        <v>5</v>
      </c>
      <c r="H4" s="16" t="s">
        <v>35</v>
      </c>
      <c r="I4" s="17" t="s">
        <v>36</v>
      </c>
    </row>
    <row r="5" spans="2:11" ht="30" customHeight="1" x14ac:dyDescent="0.25">
      <c r="B5" s="10" t="s">
        <v>37</v>
      </c>
      <c r="C5" s="11" t="s">
        <v>38</v>
      </c>
      <c r="D5" s="12">
        <v>1</v>
      </c>
      <c r="E5" s="13" t="s">
        <v>39</v>
      </c>
      <c r="F5" s="14">
        <v>3</v>
      </c>
      <c r="G5" s="15">
        <f t="shared" ref="G5:G22" si="0">IF(H5="Done",F5,"")</f>
        <v>3</v>
      </c>
      <c r="H5" s="16" t="s">
        <v>35</v>
      </c>
      <c r="I5" s="17" t="s">
        <v>36</v>
      </c>
    </row>
    <row r="6" spans="2:11" ht="30" customHeight="1" x14ac:dyDescent="0.25">
      <c r="B6" s="10" t="s">
        <v>40</v>
      </c>
      <c r="C6" s="11" t="s">
        <v>41</v>
      </c>
      <c r="D6" s="12">
        <v>1</v>
      </c>
      <c r="E6" s="13" t="s">
        <v>42</v>
      </c>
      <c r="F6" s="14">
        <v>3</v>
      </c>
      <c r="G6" s="15">
        <f t="shared" si="0"/>
        <v>3</v>
      </c>
      <c r="H6" s="16" t="s">
        <v>35</v>
      </c>
      <c r="I6" s="17" t="s">
        <v>36</v>
      </c>
    </row>
    <row r="7" spans="2:11" ht="30" customHeight="1" x14ac:dyDescent="0.25">
      <c r="B7" s="10" t="s">
        <v>43</v>
      </c>
      <c r="C7" s="11" t="s">
        <v>44</v>
      </c>
      <c r="D7" s="12">
        <v>1</v>
      </c>
      <c r="E7" s="13" t="s">
        <v>45</v>
      </c>
      <c r="F7" s="14">
        <v>2</v>
      </c>
      <c r="G7" s="15">
        <f t="shared" si="0"/>
        <v>2</v>
      </c>
      <c r="H7" s="16" t="s">
        <v>35</v>
      </c>
      <c r="I7" s="18" t="s">
        <v>46</v>
      </c>
    </row>
    <row r="8" spans="2:11" ht="30" customHeight="1" x14ac:dyDescent="0.25">
      <c r="B8" s="10" t="s">
        <v>47</v>
      </c>
      <c r="C8" s="11" t="s">
        <v>48</v>
      </c>
      <c r="D8" s="12">
        <v>2</v>
      </c>
      <c r="E8" s="13" t="s">
        <v>49</v>
      </c>
      <c r="F8" s="14">
        <v>5</v>
      </c>
      <c r="G8" s="15">
        <f t="shared" si="0"/>
        <v>5</v>
      </c>
      <c r="H8" s="16" t="s">
        <v>35</v>
      </c>
      <c r="I8" s="17" t="s">
        <v>36</v>
      </c>
    </row>
    <row r="9" spans="2:11" ht="30" customHeight="1" x14ac:dyDescent="0.25">
      <c r="B9" s="10" t="s">
        <v>50</v>
      </c>
      <c r="C9" s="11" t="s">
        <v>51</v>
      </c>
      <c r="D9" s="12">
        <v>2</v>
      </c>
      <c r="E9" s="13" t="s">
        <v>49</v>
      </c>
      <c r="F9" s="14">
        <v>3</v>
      </c>
      <c r="G9" s="15">
        <f t="shared" si="0"/>
        <v>3</v>
      </c>
      <c r="H9" s="16" t="s">
        <v>35</v>
      </c>
      <c r="I9" s="17" t="s">
        <v>36</v>
      </c>
    </row>
    <row r="10" spans="2:11" ht="30" customHeight="1" x14ac:dyDescent="0.25">
      <c r="B10" s="68" t="s">
        <v>164</v>
      </c>
      <c r="C10" s="11" t="s">
        <v>165</v>
      </c>
      <c r="D10" s="12">
        <v>2</v>
      </c>
      <c r="E10" s="69" t="s">
        <v>39</v>
      </c>
      <c r="F10" s="14">
        <v>3</v>
      </c>
      <c r="G10" s="15">
        <f t="shared" si="0"/>
        <v>3</v>
      </c>
      <c r="H10" s="16" t="s">
        <v>35</v>
      </c>
      <c r="I10" s="17" t="s">
        <v>36</v>
      </c>
    </row>
    <row r="11" spans="2:11" ht="30" customHeight="1" x14ac:dyDescent="0.25">
      <c r="B11" s="68" t="s">
        <v>167</v>
      </c>
      <c r="C11" s="11" t="s">
        <v>166</v>
      </c>
      <c r="D11" s="12">
        <v>2</v>
      </c>
      <c r="E11" s="69" t="s">
        <v>39</v>
      </c>
      <c r="F11" s="14">
        <v>2</v>
      </c>
      <c r="G11" s="15">
        <f t="shared" si="0"/>
        <v>2</v>
      </c>
      <c r="H11" s="16" t="s">
        <v>35</v>
      </c>
      <c r="I11" s="17" t="s">
        <v>36</v>
      </c>
    </row>
    <row r="12" spans="2:11" ht="30" customHeight="1" x14ac:dyDescent="0.25">
      <c r="B12" s="10" t="s">
        <v>53</v>
      </c>
      <c r="C12" s="11" t="s">
        <v>54</v>
      </c>
      <c r="D12" s="12">
        <v>3</v>
      </c>
      <c r="E12" s="13"/>
      <c r="F12" s="14">
        <v>5</v>
      </c>
      <c r="G12" s="15" t="str">
        <f t="shared" si="0"/>
        <v/>
      </c>
      <c r="H12" s="16" t="s">
        <v>52</v>
      </c>
      <c r="I12" s="18" t="s">
        <v>46</v>
      </c>
    </row>
    <row r="13" spans="2:11" ht="30" customHeight="1" x14ac:dyDescent="0.25">
      <c r="B13" s="10" t="s">
        <v>55</v>
      </c>
      <c r="C13" s="11" t="s">
        <v>56</v>
      </c>
      <c r="D13" s="12">
        <v>3</v>
      </c>
      <c r="E13" s="13"/>
      <c r="F13" s="14">
        <v>3</v>
      </c>
      <c r="G13" s="15" t="str">
        <f t="shared" si="0"/>
        <v/>
      </c>
      <c r="H13" s="16" t="s">
        <v>52</v>
      </c>
      <c r="I13" s="18" t="s">
        <v>46</v>
      </c>
    </row>
    <row r="14" spans="2:11" ht="30" customHeight="1" x14ac:dyDescent="0.25">
      <c r="B14" s="10" t="s">
        <v>57</v>
      </c>
      <c r="C14" s="11" t="s">
        <v>58</v>
      </c>
      <c r="D14" s="12">
        <v>2</v>
      </c>
      <c r="E14" s="13" t="s">
        <v>59</v>
      </c>
      <c r="F14" s="14">
        <v>3</v>
      </c>
      <c r="G14" s="15">
        <f t="shared" si="0"/>
        <v>3</v>
      </c>
      <c r="H14" s="16" t="s">
        <v>35</v>
      </c>
      <c r="I14" s="17" t="s">
        <v>36</v>
      </c>
    </row>
    <row r="15" spans="2:11" ht="30" customHeight="1" x14ac:dyDescent="0.25">
      <c r="B15" s="10" t="s">
        <v>60</v>
      </c>
      <c r="C15" s="11" t="s">
        <v>61</v>
      </c>
      <c r="D15" s="12">
        <v>2</v>
      </c>
      <c r="E15" s="13" t="s">
        <v>49</v>
      </c>
      <c r="F15" s="14">
        <v>3</v>
      </c>
      <c r="G15" s="15">
        <f t="shared" si="0"/>
        <v>3</v>
      </c>
      <c r="H15" s="16" t="s">
        <v>35</v>
      </c>
      <c r="I15" s="17" t="s">
        <v>36</v>
      </c>
    </row>
    <row r="16" spans="2:11" ht="30" customHeight="1" x14ac:dyDescent="0.25">
      <c r="B16" s="10" t="s">
        <v>62</v>
      </c>
      <c r="C16" s="11" t="s">
        <v>63</v>
      </c>
      <c r="D16" s="12">
        <v>3</v>
      </c>
      <c r="E16" s="13"/>
      <c r="F16" s="14">
        <v>5</v>
      </c>
      <c r="G16" s="15" t="str">
        <f t="shared" si="0"/>
        <v/>
      </c>
      <c r="H16" s="16" t="s">
        <v>52</v>
      </c>
      <c r="I16" s="18" t="s">
        <v>46</v>
      </c>
      <c r="K16" s="66"/>
    </row>
    <row r="17" spans="2:9" ht="30" customHeight="1" x14ac:dyDescent="0.25">
      <c r="B17" s="10" t="s">
        <v>64</v>
      </c>
      <c r="C17" s="11" t="s">
        <v>65</v>
      </c>
      <c r="D17" s="12">
        <v>3</v>
      </c>
      <c r="E17" s="13"/>
      <c r="F17" s="14">
        <v>3</v>
      </c>
      <c r="G17" s="15" t="str">
        <f t="shared" si="0"/>
        <v/>
      </c>
      <c r="H17" s="16" t="s">
        <v>52</v>
      </c>
      <c r="I17" s="18" t="s">
        <v>46</v>
      </c>
    </row>
    <row r="18" spans="2:9" ht="30" customHeight="1" x14ac:dyDescent="0.25">
      <c r="B18" s="10" t="s">
        <v>66</v>
      </c>
      <c r="C18" s="11" t="s">
        <v>67</v>
      </c>
      <c r="D18" s="70" t="s">
        <v>171</v>
      </c>
      <c r="E18" s="13"/>
      <c r="F18" s="14">
        <v>3</v>
      </c>
      <c r="G18" s="15" t="str">
        <f t="shared" si="0"/>
        <v/>
      </c>
      <c r="H18" s="16" t="s">
        <v>52</v>
      </c>
      <c r="I18" s="18" t="s">
        <v>68</v>
      </c>
    </row>
    <row r="19" spans="2:9" ht="30" customHeight="1" x14ac:dyDescent="0.25">
      <c r="B19" s="10" t="s">
        <v>69</v>
      </c>
      <c r="C19" s="11" t="s">
        <v>70</v>
      </c>
      <c r="D19" s="70" t="s">
        <v>171</v>
      </c>
      <c r="E19" s="13"/>
      <c r="F19" s="14">
        <v>2</v>
      </c>
      <c r="G19" s="15" t="str">
        <f t="shared" si="0"/>
        <v/>
      </c>
      <c r="H19" s="16" t="s">
        <v>52</v>
      </c>
      <c r="I19" s="18" t="s">
        <v>68</v>
      </c>
    </row>
    <row r="20" spans="2:9" ht="30" customHeight="1" x14ac:dyDescent="0.25">
      <c r="B20" s="10" t="s">
        <v>71</v>
      </c>
      <c r="C20" s="11" t="s">
        <v>72</v>
      </c>
      <c r="D20" s="70" t="s">
        <v>171</v>
      </c>
      <c r="E20" s="13"/>
      <c r="F20" s="14">
        <v>5</v>
      </c>
      <c r="G20" s="15" t="str">
        <f t="shared" si="0"/>
        <v/>
      </c>
      <c r="H20" s="16" t="s">
        <v>52</v>
      </c>
      <c r="I20" s="18" t="s">
        <v>68</v>
      </c>
    </row>
    <row r="21" spans="2:9" ht="30" customHeight="1" x14ac:dyDescent="0.25">
      <c r="B21" s="10" t="s">
        <v>73</v>
      </c>
      <c r="C21" s="11" t="s">
        <v>74</v>
      </c>
      <c r="D21" s="70" t="s">
        <v>171</v>
      </c>
      <c r="E21" s="13"/>
      <c r="F21" s="14">
        <v>3</v>
      </c>
      <c r="G21" s="15" t="str">
        <f t="shared" si="0"/>
        <v/>
      </c>
      <c r="H21" s="16" t="s">
        <v>52</v>
      </c>
      <c r="I21" s="18" t="s">
        <v>68</v>
      </c>
    </row>
    <row r="22" spans="2:9" ht="30" customHeight="1" x14ac:dyDescent="0.25">
      <c r="B22" s="10" t="s">
        <v>75</v>
      </c>
      <c r="C22" s="11" t="s">
        <v>76</v>
      </c>
      <c r="D22" s="12">
        <v>2</v>
      </c>
      <c r="E22" s="69" t="s">
        <v>168</v>
      </c>
      <c r="F22" s="14">
        <v>3</v>
      </c>
      <c r="G22" s="15">
        <f t="shared" si="0"/>
        <v>3</v>
      </c>
      <c r="H22" s="16" t="s">
        <v>35</v>
      </c>
      <c r="I22" s="18" t="s">
        <v>36</v>
      </c>
    </row>
    <row r="23" spans="2:9" ht="30" customHeight="1" x14ac:dyDescent="0.25">
      <c r="B23" s="10" t="s">
        <v>77</v>
      </c>
      <c r="C23" s="11" t="s">
        <v>78</v>
      </c>
      <c r="D23" s="12">
        <v>2</v>
      </c>
      <c r="E23" s="69" t="s">
        <v>169</v>
      </c>
      <c r="F23" s="14">
        <v>2</v>
      </c>
      <c r="G23" s="15">
        <f t="shared" ref="G23:G27" si="1">IF(H23="Done",F23,"")</f>
        <v>2</v>
      </c>
      <c r="H23" s="16" t="s">
        <v>35</v>
      </c>
      <c r="I23" s="18" t="s">
        <v>36</v>
      </c>
    </row>
    <row r="24" spans="2:9" ht="30" customHeight="1" x14ac:dyDescent="0.25">
      <c r="B24" s="10" t="s">
        <v>79</v>
      </c>
      <c r="C24" s="11" t="s">
        <v>80</v>
      </c>
      <c r="D24" s="12">
        <v>2</v>
      </c>
      <c r="E24" s="69" t="s">
        <v>168</v>
      </c>
      <c r="F24" s="14">
        <v>2</v>
      </c>
      <c r="G24" s="15">
        <f t="shared" si="1"/>
        <v>2</v>
      </c>
      <c r="H24" s="16" t="s">
        <v>35</v>
      </c>
      <c r="I24" s="18" t="s">
        <v>36</v>
      </c>
    </row>
    <row r="25" spans="2:9" ht="30" customHeight="1" x14ac:dyDescent="0.25">
      <c r="B25" s="10" t="s">
        <v>81</v>
      </c>
      <c r="C25" s="11" t="s">
        <v>82</v>
      </c>
      <c r="D25" s="12">
        <v>2</v>
      </c>
      <c r="E25" s="69" t="s">
        <v>170</v>
      </c>
      <c r="F25" s="14">
        <v>3</v>
      </c>
      <c r="G25" s="15">
        <f t="shared" si="1"/>
        <v>3</v>
      </c>
      <c r="H25" s="16" t="s">
        <v>35</v>
      </c>
      <c r="I25" s="18" t="s">
        <v>36</v>
      </c>
    </row>
    <row r="26" spans="2:9" ht="30" customHeight="1" x14ac:dyDescent="0.25">
      <c r="B26" s="10" t="s">
        <v>83</v>
      </c>
      <c r="C26" s="11" t="s">
        <v>84</v>
      </c>
      <c r="D26" s="12">
        <v>3</v>
      </c>
      <c r="E26" s="13"/>
      <c r="F26" s="14">
        <v>2</v>
      </c>
      <c r="G26" s="15" t="str">
        <f t="shared" si="1"/>
        <v/>
      </c>
      <c r="H26" s="16" t="s">
        <v>52</v>
      </c>
      <c r="I26" s="18" t="s">
        <v>46</v>
      </c>
    </row>
    <row r="27" spans="2:9" ht="30" customHeight="1" x14ac:dyDescent="0.25">
      <c r="B27" s="10" t="s">
        <v>85</v>
      </c>
      <c r="C27" s="11" t="s">
        <v>86</v>
      </c>
      <c r="D27" s="12">
        <v>3</v>
      </c>
      <c r="E27" s="13"/>
      <c r="F27" s="14">
        <v>3</v>
      </c>
      <c r="G27" s="15" t="str">
        <f t="shared" si="1"/>
        <v/>
      </c>
      <c r="H27" s="16" t="s">
        <v>52</v>
      </c>
      <c r="I27" s="18" t="s">
        <v>46</v>
      </c>
    </row>
    <row r="28" spans="2:9" ht="17.25" x14ac:dyDescent="0.25">
      <c r="B28" s="96" t="s">
        <v>87</v>
      </c>
      <c r="C28" s="75"/>
      <c r="D28" s="75"/>
      <c r="E28" s="76"/>
      <c r="F28" s="19">
        <f t="shared" ref="F28:G28" si="2">SUM(F4:F27)</f>
        <v>76</v>
      </c>
      <c r="G28" s="20">
        <f t="shared" si="2"/>
        <v>42</v>
      </c>
      <c r="H28" s="21">
        <f>IFERROR(G28/F28,0)</f>
        <v>0.55263157894736847</v>
      </c>
      <c r="I28" s="22"/>
    </row>
    <row r="29" spans="2:9" x14ac:dyDescent="0.25">
      <c r="D29" s="23"/>
    </row>
    <row r="30" spans="2:9" ht="15.75" customHeight="1" x14ac:dyDescent="0.25">
      <c r="D30" s="23"/>
    </row>
    <row r="31" spans="2:9" ht="15.75" customHeight="1" x14ac:dyDescent="0.25">
      <c r="D31" s="23"/>
    </row>
    <row r="32" spans="2:9" ht="15.75" customHeight="1" x14ac:dyDescent="0.25">
      <c r="D32" s="23"/>
    </row>
    <row r="33" spans="4:4" ht="15.75" customHeight="1" x14ac:dyDescent="0.25">
      <c r="D33" s="23"/>
    </row>
    <row r="34" spans="4:4" ht="15.75" customHeight="1" x14ac:dyDescent="0.25">
      <c r="D34" s="23"/>
    </row>
    <row r="35" spans="4:4" ht="15.75" customHeight="1" x14ac:dyDescent="0.25">
      <c r="D35" s="23"/>
    </row>
    <row r="36" spans="4:4" ht="15.75" customHeight="1" x14ac:dyDescent="0.25">
      <c r="D36" s="23"/>
    </row>
    <row r="37" spans="4:4" ht="15.75" customHeight="1" x14ac:dyDescent="0.25">
      <c r="D37" s="23"/>
    </row>
    <row r="38" spans="4:4" ht="15.75" customHeight="1" x14ac:dyDescent="0.25">
      <c r="D38" s="23"/>
    </row>
    <row r="39" spans="4:4" ht="15.75" customHeight="1" x14ac:dyDescent="0.25">
      <c r="D39" s="23"/>
    </row>
    <row r="40" spans="4:4" ht="15.75" customHeight="1" x14ac:dyDescent="0.25">
      <c r="D40" s="23"/>
    </row>
    <row r="41" spans="4:4" ht="15.75" customHeight="1" x14ac:dyDescent="0.25">
      <c r="D41" s="23"/>
    </row>
    <row r="42" spans="4:4" ht="15.75" customHeight="1" x14ac:dyDescent="0.25">
      <c r="D42" s="23"/>
    </row>
    <row r="43" spans="4:4" ht="15.75" customHeight="1" x14ac:dyDescent="0.25">
      <c r="D43" s="23"/>
    </row>
    <row r="44" spans="4:4" ht="15.75" customHeight="1" x14ac:dyDescent="0.25">
      <c r="D44" s="23"/>
    </row>
    <row r="45" spans="4:4" ht="15.75" customHeight="1" x14ac:dyDescent="0.25">
      <c r="D45" s="23"/>
    </row>
    <row r="46" spans="4:4" ht="15.75" customHeight="1" x14ac:dyDescent="0.25">
      <c r="D46" s="23"/>
    </row>
    <row r="47" spans="4:4" ht="15.75" customHeight="1" x14ac:dyDescent="0.25">
      <c r="D47" s="23"/>
    </row>
    <row r="48" spans="4:4" ht="15.75" customHeight="1" x14ac:dyDescent="0.25">
      <c r="D48" s="23"/>
    </row>
    <row r="49" spans="4:4" ht="15.75" customHeight="1" x14ac:dyDescent="0.25">
      <c r="D49" s="23"/>
    </row>
    <row r="50" spans="4:4" ht="15.75" customHeight="1" x14ac:dyDescent="0.25">
      <c r="D50" s="23"/>
    </row>
    <row r="51" spans="4:4" ht="15.75" customHeight="1" x14ac:dyDescent="0.25">
      <c r="D51" s="23"/>
    </row>
    <row r="52" spans="4:4" ht="15.75" customHeight="1" x14ac:dyDescent="0.25">
      <c r="D52" s="23"/>
    </row>
    <row r="53" spans="4:4" ht="15.75" customHeight="1" x14ac:dyDescent="0.25">
      <c r="D53" s="23"/>
    </row>
    <row r="54" spans="4:4" ht="15.75" customHeight="1" x14ac:dyDescent="0.25">
      <c r="D54" s="23"/>
    </row>
    <row r="55" spans="4:4" ht="15.75" customHeight="1" x14ac:dyDescent="0.25">
      <c r="D55" s="23"/>
    </row>
    <row r="56" spans="4:4" ht="15.75" customHeight="1" x14ac:dyDescent="0.25">
      <c r="D56" s="23"/>
    </row>
    <row r="57" spans="4:4" ht="15.75" customHeight="1" x14ac:dyDescent="0.25">
      <c r="D57" s="23"/>
    </row>
    <row r="58" spans="4:4" ht="15.75" customHeight="1" x14ac:dyDescent="0.25">
      <c r="D58" s="23"/>
    </row>
    <row r="59" spans="4:4" ht="15.75" customHeight="1" x14ac:dyDescent="0.25">
      <c r="D59" s="23"/>
    </row>
    <row r="60" spans="4:4" ht="15.75" customHeight="1" x14ac:dyDescent="0.25">
      <c r="D60" s="23"/>
    </row>
    <row r="61" spans="4:4" ht="15.75" customHeight="1" x14ac:dyDescent="0.25">
      <c r="D61" s="23"/>
    </row>
    <row r="62" spans="4:4" ht="15.75" customHeight="1" x14ac:dyDescent="0.25">
      <c r="D62" s="23"/>
    </row>
    <row r="63" spans="4:4" ht="15.75" customHeight="1" x14ac:dyDescent="0.25">
      <c r="D63" s="23"/>
    </row>
    <row r="64" spans="4:4" ht="15.75" customHeight="1" x14ac:dyDescent="0.25">
      <c r="D64" s="23"/>
    </row>
    <row r="65" spans="4:4" ht="15.75" customHeight="1" x14ac:dyDescent="0.25">
      <c r="D65" s="23"/>
    </row>
    <row r="66" spans="4:4" ht="15.75" customHeight="1" x14ac:dyDescent="0.25">
      <c r="D66" s="23"/>
    </row>
    <row r="67" spans="4:4" ht="15.75" customHeight="1" x14ac:dyDescent="0.25">
      <c r="D67" s="23"/>
    </row>
    <row r="68" spans="4:4" ht="15.75" customHeight="1" x14ac:dyDescent="0.25">
      <c r="D68" s="23"/>
    </row>
    <row r="69" spans="4:4" ht="15.75" customHeight="1" x14ac:dyDescent="0.25">
      <c r="D69" s="23"/>
    </row>
    <row r="70" spans="4:4" ht="15.75" customHeight="1" x14ac:dyDescent="0.25">
      <c r="D70" s="23"/>
    </row>
    <row r="71" spans="4:4" ht="15.75" customHeight="1" x14ac:dyDescent="0.25">
      <c r="D71" s="23"/>
    </row>
    <row r="72" spans="4:4" ht="15.75" customHeight="1" x14ac:dyDescent="0.25">
      <c r="D72" s="23"/>
    </row>
    <row r="73" spans="4:4" ht="15.75" customHeight="1" x14ac:dyDescent="0.25">
      <c r="D73" s="23"/>
    </row>
    <row r="74" spans="4:4" ht="15.75" customHeight="1" x14ac:dyDescent="0.25">
      <c r="D74" s="23"/>
    </row>
    <row r="75" spans="4:4" ht="15.75" customHeight="1" x14ac:dyDescent="0.25">
      <c r="D75" s="23"/>
    </row>
    <row r="76" spans="4:4" ht="15.75" customHeight="1" x14ac:dyDescent="0.25">
      <c r="D76" s="23"/>
    </row>
    <row r="77" spans="4:4" ht="15.75" customHeight="1" x14ac:dyDescent="0.25">
      <c r="D77" s="23"/>
    </row>
    <row r="78" spans="4:4" ht="15.75" customHeight="1" x14ac:dyDescent="0.25">
      <c r="D78" s="23"/>
    </row>
    <row r="79" spans="4:4" ht="15.75" customHeight="1" x14ac:dyDescent="0.25">
      <c r="D79" s="23"/>
    </row>
    <row r="80" spans="4:4" ht="15.75" customHeight="1" x14ac:dyDescent="0.25">
      <c r="D80" s="23"/>
    </row>
    <row r="81" spans="4:4" ht="15.75" customHeight="1" x14ac:dyDescent="0.25">
      <c r="D81" s="23"/>
    </row>
    <row r="82" spans="4:4" ht="15.75" customHeight="1" x14ac:dyDescent="0.25">
      <c r="D82" s="23"/>
    </row>
    <row r="83" spans="4:4" ht="15.75" customHeight="1" x14ac:dyDescent="0.25">
      <c r="D83" s="23"/>
    </row>
    <row r="84" spans="4:4" ht="15.75" customHeight="1" x14ac:dyDescent="0.25">
      <c r="D84" s="23"/>
    </row>
    <row r="85" spans="4:4" ht="15.75" customHeight="1" x14ac:dyDescent="0.25">
      <c r="D85" s="23"/>
    </row>
    <row r="86" spans="4:4" ht="15.75" customHeight="1" x14ac:dyDescent="0.25">
      <c r="D86" s="23"/>
    </row>
    <row r="87" spans="4:4" ht="15.75" customHeight="1" x14ac:dyDescent="0.25">
      <c r="D87" s="23"/>
    </row>
    <row r="88" spans="4:4" ht="15.75" customHeight="1" x14ac:dyDescent="0.25">
      <c r="D88" s="23"/>
    </row>
    <row r="89" spans="4:4" ht="15.75" customHeight="1" x14ac:dyDescent="0.25">
      <c r="D89" s="23"/>
    </row>
    <row r="90" spans="4:4" ht="15.75" customHeight="1" x14ac:dyDescent="0.25">
      <c r="D90" s="23"/>
    </row>
    <row r="91" spans="4:4" ht="15.75" customHeight="1" x14ac:dyDescent="0.25">
      <c r="D91" s="23"/>
    </row>
    <row r="92" spans="4:4" ht="15.75" customHeight="1" x14ac:dyDescent="0.25">
      <c r="D92" s="23"/>
    </row>
    <row r="93" spans="4:4" ht="15.75" customHeight="1" x14ac:dyDescent="0.25">
      <c r="D93" s="23"/>
    </row>
    <row r="94" spans="4:4" ht="15.75" customHeight="1" x14ac:dyDescent="0.25">
      <c r="D94" s="23"/>
    </row>
    <row r="95" spans="4:4" ht="15.75" customHeight="1" x14ac:dyDescent="0.25">
      <c r="D95" s="23"/>
    </row>
    <row r="96" spans="4:4" ht="15.75" customHeight="1" x14ac:dyDescent="0.25">
      <c r="D96" s="23"/>
    </row>
    <row r="97" spans="4:4" ht="15.75" customHeight="1" x14ac:dyDescent="0.25">
      <c r="D97" s="23"/>
    </row>
    <row r="98" spans="4:4" ht="15.75" customHeight="1" x14ac:dyDescent="0.25">
      <c r="D98" s="23"/>
    </row>
    <row r="99" spans="4:4" ht="15.75" customHeight="1" x14ac:dyDescent="0.25">
      <c r="D99" s="23"/>
    </row>
    <row r="100" spans="4:4" ht="15.75" customHeight="1" x14ac:dyDescent="0.25">
      <c r="D100" s="23"/>
    </row>
    <row r="101" spans="4:4" ht="15.75" customHeight="1" x14ac:dyDescent="0.25">
      <c r="D101" s="23"/>
    </row>
    <row r="102" spans="4:4" ht="15.75" customHeight="1" x14ac:dyDescent="0.25">
      <c r="D102" s="23"/>
    </row>
    <row r="103" spans="4:4" ht="15.75" customHeight="1" x14ac:dyDescent="0.25">
      <c r="D103" s="23"/>
    </row>
    <row r="104" spans="4:4" ht="15.75" customHeight="1" x14ac:dyDescent="0.25">
      <c r="D104" s="23"/>
    </row>
    <row r="105" spans="4:4" ht="15.75" customHeight="1" x14ac:dyDescent="0.25">
      <c r="D105" s="23"/>
    </row>
    <row r="106" spans="4:4" ht="15.75" customHeight="1" x14ac:dyDescent="0.25">
      <c r="D106" s="23"/>
    </row>
    <row r="107" spans="4:4" ht="15.75" customHeight="1" x14ac:dyDescent="0.25">
      <c r="D107" s="23"/>
    </row>
    <row r="108" spans="4:4" ht="15.75" customHeight="1" x14ac:dyDescent="0.25">
      <c r="D108" s="23"/>
    </row>
    <row r="109" spans="4:4" ht="15.75" customHeight="1" x14ac:dyDescent="0.25">
      <c r="D109" s="23"/>
    </row>
    <row r="110" spans="4:4" ht="15.75" customHeight="1" x14ac:dyDescent="0.25">
      <c r="D110" s="23"/>
    </row>
    <row r="111" spans="4:4" ht="15.75" customHeight="1" x14ac:dyDescent="0.25">
      <c r="D111" s="23"/>
    </row>
    <row r="112" spans="4:4" ht="15.75" customHeight="1" x14ac:dyDescent="0.25">
      <c r="D112" s="23"/>
    </row>
    <row r="113" spans="4:4" ht="15.75" customHeight="1" x14ac:dyDescent="0.25">
      <c r="D113" s="23"/>
    </row>
    <row r="114" spans="4:4" ht="15.75" customHeight="1" x14ac:dyDescent="0.25">
      <c r="D114" s="23"/>
    </row>
    <row r="115" spans="4:4" ht="15.75" customHeight="1" x14ac:dyDescent="0.25">
      <c r="D115" s="23"/>
    </row>
    <row r="116" spans="4:4" ht="15.75" customHeight="1" x14ac:dyDescent="0.25">
      <c r="D116" s="23"/>
    </row>
    <row r="117" spans="4:4" ht="15.75" customHeight="1" x14ac:dyDescent="0.25">
      <c r="D117" s="23"/>
    </row>
    <row r="118" spans="4:4" ht="15.75" customHeight="1" x14ac:dyDescent="0.25">
      <c r="D118" s="23"/>
    </row>
    <row r="119" spans="4:4" ht="15.75" customHeight="1" x14ac:dyDescent="0.25">
      <c r="D119" s="23"/>
    </row>
    <row r="120" spans="4:4" ht="15.75" customHeight="1" x14ac:dyDescent="0.25">
      <c r="D120" s="23"/>
    </row>
    <row r="121" spans="4:4" ht="15.75" customHeight="1" x14ac:dyDescent="0.25">
      <c r="D121" s="23"/>
    </row>
    <row r="122" spans="4:4" ht="15.75" customHeight="1" x14ac:dyDescent="0.25">
      <c r="D122" s="23"/>
    </row>
    <row r="123" spans="4:4" ht="15.75" customHeight="1" x14ac:dyDescent="0.25">
      <c r="D123" s="23"/>
    </row>
    <row r="124" spans="4:4" ht="15.75" customHeight="1" x14ac:dyDescent="0.25">
      <c r="D124" s="23"/>
    </row>
    <row r="125" spans="4:4" ht="15.75" customHeight="1" x14ac:dyDescent="0.25">
      <c r="D125" s="23"/>
    </row>
    <row r="126" spans="4:4" ht="15.75" customHeight="1" x14ac:dyDescent="0.25">
      <c r="D126" s="23"/>
    </row>
    <row r="127" spans="4:4" ht="15.75" customHeight="1" x14ac:dyDescent="0.25">
      <c r="D127" s="23"/>
    </row>
    <row r="128" spans="4:4" ht="15.75" customHeight="1" x14ac:dyDescent="0.25">
      <c r="D128" s="23"/>
    </row>
    <row r="129" spans="4:4" ht="15.75" customHeight="1" x14ac:dyDescent="0.25">
      <c r="D129" s="23"/>
    </row>
    <row r="130" spans="4:4" ht="15.75" customHeight="1" x14ac:dyDescent="0.25">
      <c r="D130" s="23"/>
    </row>
    <row r="131" spans="4:4" ht="15.75" customHeight="1" x14ac:dyDescent="0.25">
      <c r="D131" s="23"/>
    </row>
    <row r="132" spans="4:4" ht="15.75" customHeight="1" x14ac:dyDescent="0.25">
      <c r="D132" s="23"/>
    </row>
    <row r="133" spans="4:4" ht="15.75" customHeight="1" x14ac:dyDescent="0.25">
      <c r="D133" s="23"/>
    </row>
    <row r="134" spans="4:4" ht="15.75" customHeight="1" x14ac:dyDescent="0.25">
      <c r="D134" s="23"/>
    </row>
    <row r="135" spans="4:4" ht="15.75" customHeight="1" x14ac:dyDescent="0.25">
      <c r="D135" s="23"/>
    </row>
    <row r="136" spans="4:4" ht="15.75" customHeight="1" x14ac:dyDescent="0.25">
      <c r="D136" s="23"/>
    </row>
    <row r="137" spans="4:4" ht="15.75" customHeight="1" x14ac:dyDescent="0.25">
      <c r="D137" s="23"/>
    </row>
    <row r="138" spans="4:4" ht="15.75" customHeight="1" x14ac:dyDescent="0.25">
      <c r="D138" s="23"/>
    </row>
    <row r="139" spans="4:4" ht="15.75" customHeight="1" x14ac:dyDescent="0.25">
      <c r="D139" s="23"/>
    </row>
    <row r="140" spans="4:4" ht="15.75" customHeight="1" x14ac:dyDescent="0.25">
      <c r="D140" s="23"/>
    </row>
    <row r="141" spans="4:4" ht="15.75" customHeight="1" x14ac:dyDescent="0.25">
      <c r="D141" s="23"/>
    </row>
    <row r="142" spans="4:4" ht="15.75" customHeight="1" x14ac:dyDescent="0.25">
      <c r="D142" s="23"/>
    </row>
    <row r="143" spans="4:4" ht="15.75" customHeight="1" x14ac:dyDescent="0.25">
      <c r="D143" s="23"/>
    </row>
    <row r="144" spans="4:4" ht="15.75" customHeight="1" x14ac:dyDescent="0.25">
      <c r="D144" s="23"/>
    </row>
    <row r="145" spans="4:4" ht="15.75" customHeight="1" x14ac:dyDescent="0.25">
      <c r="D145" s="23"/>
    </row>
    <row r="146" spans="4:4" ht="15.75" customHeight="1" x14ac:dyDescent="0.25">
      <c r="D146" s="23"/>
    </row>
    <row r="147" spans="4:4" ht="15.75" customHeight="1" x14ac:dyDescent="0.25">
      <c r="D147" s="23"/>
    </row>
    <row r="148" spans="4:4" ht="15.75" customHeight="1" x14ac:dyDescent="0.25">
      <c r="D148" s="23"/>
    </row>
    <row r="149" spans="4:4" ht="15.75" customHeight="1" x14ac:dyDescent="0.25">
      <c r="D149" s="23"/>
    </row>
    <row r="150" spans="4:4" ht="15.75" customHeight="1" x14ac:dyDescent="0.25">
      <c r="D150" s="23"/>
    </row>
    <row r="151" spans="4:4" ht="15.75" customHeight="1" x14ac:dyDescent="0.25">
      <c r="D151" s="23"/>
    </row>
    <row r="152" spans="4:4" ht="15.75" customHeight="1" x14ac:dyDescent="0.25">
      <c r="D152" s="23"/>
    </row>
    <row r="153" spans="4:4" ht="15.75" customHeight="1" x14ac:dyDescent="0.25">
      <c r="D153" s="23"/>
    </row>
    <row r="154" spans="4:4" ht="15.75" customHeight="1" x14ac:dyDescent="0.25">
      <c r="D154" s="23"/>
    </row>
    <row r="155" spans="4:4" ht="15.75" customHeight="1" x14ac:dyDescent="0.25">
      <c r="D155" s="23"/>
    </row>
    <row r="156" spans="4:4" ht="15.75" customHeight="1" x14ac:dyDescent="0.25">
      <c r="D156" s="23"/>
    </row>
    <row r="157" spans="4:4" ht="15.75" customHeight="1" x14ac:dyDescent="0.25">
      <c r="D157" s="23"/>
    </row>
    <row r="158" spans="4:4" ht="15.75" customHeight="1" x14ac:dyDescent="0.25">
      <c r="D158" s="23"/>
    </row>
    <row r="159" spans="4:4" ht="15.75" customHeight="1" x14ac:dyDescent="0.25">
      <c r="D159" s="23"/>
    </row>
    <row r="160" spans="4:4" ht="15.75" customHeight="1" x14ac:dyDescent="0.25">
      <c r="D160" s="23"/>
    </row>
    <row r="161" spans="4:4" ht="15.75" customHeight="1" x14ac:dyDescent="0.25">
      <c r="D161" s="23"/>
    </row>
    <row r="162" spans="4:4" ht="15.75" customHeight="1" x14ac:dyDescent="0.25">
      <c r="D162" s="23"/>
    </row>
    <row r="163" spans="4:4" ht="15.75" customHeight="1" x14ac:dyDescent="0.25">
      <c r="D163" s="23"/>
    </row>
    <row r="164" spans="4:4" ht="15.75" customHeight="1" x14ac:dyDescent="0.25">
      <c r="D164" s="23"/>
    </row>
    <row r="165" spans="4:4" ht="15.75" customHeight="1" x14ac:dyDescent="0.25">
      <c r="D165" s="23"/>
    </row>
    <row r="166" spans="4:4" ht="15.75" customHeight="1" x14ac:dyDescent="0.25">
      <c r="D166" s="23"/>
    </row>
    <row r="167" spans="4:4" ht="15.75" customHeight="1" x14ac:dyDescent="0.25">
      <c r="D167" s="23"/>
    </row>
    <row r="168" spans="4:4" ht="15.75" customHeight="1" x14ac:dyDescent="0.25">
      <c r="D168" s="23"/>
    </row>
    <row r="169" spans="4:4" ht="15.75" customHeight="1" x14ac:dyDescent="0.25">
      <c r="D169" s="23"/>
    </row>
    <row r="170" spans="4:4" ht="15.75" customHeight="1" x14ac:dyDescent="0.25">
      <c r="D170" s="23"/>
    </row>
    <row r="171" spans="4:4" ht="15.75" customHeight="1" x14ac:dyDescent="0.25">
      <c r="D171" s="23"/>
    </row>
    <row r="172" spans="4:4" ht="15.75" customHeight="1" x14ac:dyDescent="0.25">
      <c r="D172" s="23"/>
    </row>
    <row r="173" spans="4:4" ht="15.75" customHeight="1" x14ac:dyDescent="0.25">
      <c r="D173" s="23"/>
    </row>
    <row r="174" spans="4:4" ht="15.75" customHeight="1" x14ac:dyDescent="0.25">
      <c r="D174" s="23"/>
    </row>
    <row r="175" spans="4:4" ht="15.75" customHeight="1" x14ac:dyDescent="0.25">
      <c r="D175" s="23"/>
    </row>
    <row r="176" spans="4:4" ht="15.75" customHeight="1" x14ac:dyDescent="0.25">
      <c r="D176" s="23"/>
    </row>
    <row r="177" spans="4:4" ht="15.75" customHeight="1" x14ac:dyDescent="0.25">
      <c r="D177" s="23"/>
    </row>
    <row r="178" spans="4:4" ht="15.75" customHeight="1" x14ac:dyDescent="0.25">
      <c r="D178" s="23"/>
    </row>
    <row r="179" spans="4:4" ht="15.75" customHeight="1" x14ac:dyDescent="0.25">
      <c r="D179" s="23"/>
    </row>
    <row r="180" spans="4:4" ht="15.75" customHeight="1" x14ac:dyDescent="0.25">
      <c r="D180" s="23"/>
    </row>
    <row r="181" spans="4:4" ht="15.75" customHeight="1" x14ac:dyDescent="0.25">
      <c r="D181" s="23"/>
    </row>
    <row r="182" spans="4:4" ht="15.75" customHeight="1" x14ac:dyDescent="0.25">
      <c r="D182" s="23"/>
    </row>
    <row r="183" spans="4:4" ht="15.75" customHeight="1" x14ac:dyDescent="0.25">
      <c r="D183" s="23"/>
    </row>
    <row r="184" spans="4:4" ht="15.75" customHeight="1" x14ac:dyDescent="0.25">
      <c r="D184" s="23"/>
    </row>
    <row r="185" spans="4:4" ht="15.75" customHeight="1" x14ac:dyDescent="0.25">
      <c r="D185" s="23"/>
    </row>
    <row r="186" spans="4:4" ht="15.75" customHeight="1" x14ac:dyDescent="0.25">
      <c r="D186" s="23"/>
    </row>
    <row r="187" spans="4:4" ht="15.75" customHeight="1" x14ac:dyDescent="0.25">
      <c r="D187" s="23"/>
    </row>
    <row r="188" spans="4:4" ht="15.75" customHeight="1" x14ac:dyDescent="0.25">
      <c r="D188" s="23"/>
    </row>
    <row r="189" spans="4:4" ht="15.75" customHeight="1" x14ac:dyDescent="0.25">
      <c r="D189" s="23"/>
    </row>
    <row r="190" spans="4:4" ht="15.75" customHeight="1" x14ac:dyDescent="0.25">
      <c r="D190" s="23"/>
    </row>
    <row r="191" spans="4:4" ht="15.75" customHeight="1" x14ac:dyDescent="0.25">
      <c r="D191" s="23"/>
    </row>
    <row r="192" spans="4:4" ht="15.75" customHeight="1" x14ac:dyDescent="0.25">
      <c r="D192" s="23"/>
    </row>
    <row r="193" spans="4:4" ht="15.75" customHeight="1" x14ac:dyDescent="0.25">
      <c r="D193" s="23"/>
    </row>
    <row r="194" spans="4:4" ht="15.75" customHeight="1" x14ac:dyDescent="0.25">
      <c r="D194" s="23"/>
    </row>
    <row r="195" spans="4:4" ht="15.75" customHeight="1" x14ac:dyDescent="0.25">
      <c r="D195" s="23"/>
    </row>
    <row r="196" spans="4:4" ht="15.75" customHeight="1" x14ac:dyDescent="0.25">
      <c r="D196" s="23"/>
    </row>
    <row r="197" spans="4:4" ht="15.75" customHeight="1" x14ac:dyDescent="0.25">
      <c r="D197" s="23"/>
    </row>
    <row r="198" spans="4:4" ht="15.75" customHeight="1" x14ac:dyDescent="0.25">
      <c r="D198" s="23"/>
    </row>
    <row r="199" spans="4:4" ht="15.75" customHeight="1" x14ac:dyDescent="0.25">
      <c r="D199" s="23"/>
    </row>
    <row r="200" spans="4:4" ht="15.75" customHeight="1" x14ac:dyDescent="0.25">
      <c r="D200" s="23"/>
    </row>
    <row r="201" spans="4:4" ht="15.75" customHeight="1" x14ac:dyDescent="0.25">
      <c r="D201" s="23"/>
    </row>
    <row r="202" spans="4:4" ht="15.75" customHeight="1" x14ac:dyDescent="0.25">
      <c r="D202" s="23"/>
    </row>
    <row r="203" spans="4:4" ht="15.75" customHeight="1" x14ac:dyDescent="0.25">
      <c r="D203" s="23"/>
    </row>
    <row r="204" spans="4:4" ht="15.75" customHeight="1" x14ac:dyDescent="0.25">
      <c r="D204" s="23"/>
    </row>
    <row r="205" spans="4:4" ht="15.75" customHeight="1" x14ac:dyDescent="0.25">
      <c r="D205" s="23"/>
    </row>
    <row r="206" spans="4:4" ht="15.75" customHeight="1" x14ac:dyDescent="0.25">
      <c r="D206" s="23"/>
    </row>
    <row r="207" spans="4:4" ht="15.75" customHeight="1" x14ac:dyDescent="0.25">
      <c r="D207" s="23"/>
    </row>
    <row r="208" spans="4:4" ht="15.75" customHeight="1" x14ac:dyDescent="0.25">
      <c r="D208" s="23"/>
    </row>
    <row r="209" spans="4:4" ht="15.75" customHeight="1" x14ac:dyDescent="0.25">
      <c r="D209" s="23"/>
    </row>
    <row r="210" spans="4:4" ht="15.75" customHeight="1" x14ac:dyDescent="0.25">
      <c r="D210" s="23"/>
    </row>
    <row r="211" spans="4:4" ht="15.75" customHeight="1" x14ac:dyDescent="0.25">
      <c r="D211" s="23"/>
    </row>
    <row r="212" spans="4:4" ht="15.75" customHeight="1" x14ac:dyDescent="0.25">
      <c r="D212" s="23"/>
    </row>
    <row r="213" spans="4:4" ht="15.75" customHeight="1" x14ac:dyDescent="0.25">
      <c r="D213" s="23"/>
    </row>
    <row r="214" spans="4:4" ht="15.75" customHeight="1" x14ac:dyDescent="0.25">
      <c r="D214" s="23"/>
    </row>
    <row r="215" spans="4:4" ht="15.75" customHeight="1" x14ac:dyDescent="0.25">
      <c r="D215" s="23"/>
    </row>
    <row r="216" spans="4:4" ht="15.75" customHeight="1" x14ac:dyDescent="0.25">
      <c r="D216" s="23"/>
    </row>
    <row r="217" spans="4:4" ht="15.75" customHeight="1" x14ac:dyDescent="0.25">
      <c r="D217" s="23"/>
    </row>
    <row r="218" spans="4:4" ht="15.75" customHeight="1" x14ac:dyDescent="0.25">
      <c r="D218" s="23"/>
    </row>
    <row r="219" spans="4:4" ht="15.75" customHeight="1" x14ac:dyDescent="0.25">
      <c r="D219" s="23"/>
    </row>
    <row r="220" spans="4:4" ht="15.75" customHeight="1" x14ac:dyDescent="0.25">
      <c r="D220" s="23"/>
    </row>
    <row r="221" spans="4:4" ht="15.75" customHeight="1" x14ac:dyDescent="0.25">
      <c r="D221" s="23"/>
    </row>
    <row r="222" spans="4:4" ht="15.75" customHeight="1" x14ac:dyDescent="0.25">
      <c r="D222" s="23"/>
    </row>
    <row r="223" spans="4:4" ht="15.75" customHeight="1" x14ac:dyDescent="0.25">
      <c r="D223" s="23"/>
    </row>
    <row r="224" spans="4:4" ht="15.75" customHeight="1" x14ac:dyDescent="0.25">
      <c r="D224" s="23"/>
    </row>
    <row r="225" spans="4:4" ht="15.75" customHeight="1" x14ac:dyDescent="0.25">
      <c r="D225" s="23"/>
    </row>
    <row r="226" spans="4:4" ht="15.75" customHeight="1" x14ac:dyDescent="0.25">
      <c r="D226" s="23"/>
    </row>
    <row r="227" spans="4:4" ht="15.75" customHeight="1" x14ac:dyDescent="0.25">
      <c r="D227" s="23"/>
    </row>
    <row r="228" spans="4:4" ht="15.75" customHeight="1" x14ac:dyDescent="0.25">
      <c r="D228" s="23"/>
    </row>
    <row r="229" spans="4:4" ht="15.75" customHeight="1" x14ac:dyDescent="0.25">
      <c r="D229" s="23"/>
    </row>
    <row r="230" spans="4:4" ht="15.75" customHeight="1" x14ac:dyDescent="0.25">
      <c r="D230" s="23"/>
    </row>
    <row r="231" spans="4:4" ht="15.75" customHeight="1" x14ac:dyDescent="0.25">
      <c r="D231" s="23"/>
    </row>
    <row r="232" spans="4:4" ht="15.75" customHeight="1" x14ac:dyDescent="0.25">
      <c r="D232" s="23"/>
    </row>
    <row r="233" spans="4:4" ht="15.75" customHeight="1" x14ac:dyDescent="0.25">
      <c r="D233" s="23"/>
    </row>
    <row r="234" spans="4:4" ht="15.75" customHeight="1" x14ac:dyDescent="0.25">
      <c r="D234" s="23"/>
    </row>
    <row r="235" spans="4:4" ht="15.75" customHeight="1" x14ac:dyDescent="0.25">
      <c r="D235" s="23"/>
    </row>
    <row r="236" spans="4:4" ht="15.75" customHeight="1" x14ac:dyDescent="0.25">
      <c r="D236" s="23"/>
    </row>
    <row r="237" spans="4:4" ht="15.75" customHeight="1" x14ac:dyDescent="0.25">
      <c r="D237" s="23"/>
    </row>
    <row r="238" spans="4:4" ht="15.75" customHeight="1" x14ac:dyDescent="0.25">
      <c r="D238" s="23"/>
    </row>
    <row r="239" spans="4:4" ht="15.75" customHeight="1" x14ac:dyDescent="0.25">
      <c r="D239" s="23"/>
    </row>
    <row r="240" spans="4:4" ht="15.75" customHeight="1" x14ac:dyDescent="0.25">
      <c r="D240" s="23"/>
    </row>
    <row r="241" spans="4:4" ht="15.75" customHeight="1" x14ac:dyDescent="0.25">
      <c r="D241" s="23"/>
    </row>
    <row r="242" spans="4:4" ht="15.75" customHeight="1" x14ac:dyDescent="0.25">
      <c r="D242" s="23"/>
    </row>
    <row r="243" spans="4:4" ht="15.75" customHeight="1" x14ac:dyDescent="0.25">
      <c r="D243" s="23"/>
    </row>
    <row r="244" spans="4:4" ht="15.75" customHeight="1" x14ac:dyDescent="0.25">
      <c r="D244" s="23"/>
    </row>
    <row r="245" spans="4:4" ht="15.75" customHeight="1" x14ac:dyDescent="0.25">
      <c r="D245" s="23"/>
    </row>
    <row r="246" spans="4:4" ht="15.75" customHeight="1" x14ac:dyDescent="0.25">
      <c r="D246" s="23"/>
    </row>
    <row r="247" spans="4:4" ht="15.75" customHeight="1" x14ac:dyDescent="0.25">
      <c r="D247" s="23"/>
    </row>
    <row r="248" spans="4:4" ht="15.75" customHeight="1" x14ac:dyDescent="0.25">
      <c r="D248" s="23"/>
    </row>
    <row r="249" spans="4:4" ht="15.75" customHeight="1" x14ac:dyDescent="0.25">
      <c r="D249" s="23"/>
    </row>
    <row r="250" spans="4:4" ht="15.75" customHeight="1" x14ac:dyDescent="0.25">
      <c r="D250" s="23"/>
    </row>
    <row r="251" spans="4:4" ht="15.75" customHeight="1" x14ac:dyDescent="0.25">
      <c r="D251" s="23"/>
    </row>
    <row r="252" spans="4:4" ht="15.75" customHeight="1" x14ac:dyDescent="0.25">
      <c r="D252" s="23"/>
    </row>
    <row r="253" spans="4:4" ht="15.75" customHeight="1" x14ac:dyDescent="0.25">
      <c r="D253" s="23"/>
    </row>
    <row r="254" spans="4:4" ht="15.75" customHeight="1" x14ac:dyDescent="0.25">
      <c r="D254" s="23"/>
    </row>
    <row r="255" spans="4:4" ht="15.75" customHeight="1" x14ac:dyDescent="0.25">
      <c r="D255" s="23"/>
    </row>
    <row r="256" spans="4:4" ht="15.75" customHeight="1" x14ac:dyDescent="0.25">
      <c r="D256" s="23"/>
    </row>
    <row r="257" spans="4:4" ht="15.75" customHeight="1" x14ac:dyDescent="0.25">
      <c r="D257" s="23"/>
    </row>
    <row r="258" spans="4:4" ht="15.75" customHeight="1" x14ac:dyDescent="0.25">
      <c r="D258" s="23"/>
    </row>
    <row r="259" spans="4:4" ht="15.75" customHeight="1" x14ac:dyDescent="0.25">
      <c r="D259" s="23"/>
    </row>
    <row r="260" spans="4:4" ht="15.75" customHeight="1" x14ac:dyDescent="0.25">
      <c r="D260" s="23"/>
    </row>
    <row r="261" spans="4:4" ht="15.75" customHeight="1" x14ac:dyDescent="0.25">
      <c r="D261" s="23"/>
    </row>
    <row r="262" spans="4:4" ht="15.75" customHeight="1" x14ac:dyDescent="0.25">
      <c r="D262" s="23"/>
    </row>
    <row r="263" spans="4:4" ht="15.75" customHeight="1" x14ac:dyDescent="0.25">
      <c r="D263" s="23"/>
    </row>
    <row r="264" spans="4:4" ht="15.75" customHeight="1" x14ac:dyDescent="0.25">
      <c r="D264" s="23"/>
    </row>
    <row r="265" spans="4:4" ht="15.75" customHeight="1" x14ac:dyDescent="0.25">
      <c r="D265" s="23"/>
    </row>
    <row r="266" spans="4:4" ht="15.75" customHeight="1" x14ac:dyDescent="0.25">
      <c r="D266" s="23"/>
    </row>
    <row r="267" spans="4:4" ht="15.75" customHeight="1" x14ac:dyDescent="0.25">
      <c r="D267" s="23"/>
    </row>
    <row r="268" spans="4:4" ht="15.75" customHeight="1" x14ac:dyDescent="0.25">
      <c r="D268" s="23"/>
    </row>
    <row r="269" spans="4:4" ht="15.75" customHeight="1" x14ac:dyDescent="0.25">
      <c r="D269" s="23"/>
    </row>
    <row r="270" spans="4:4" ht="15.75" customHeight="1" x14ac:dyDescent="0.25">
      <c r="D270" s="23"/>
    </row>
    <row r="271" spans="4:4" ht="15.75" customHeight="1" x14ac:dyDescent="0.25">
      <c r="D271" s="23"/>
    </row>
    <row r="272" spans="4:4" ht="15.75" customHeight="1" x14ac:dyDescent="0.25">
      <c r="D272" s="23"/>
    </row>
    <row r="273" spans="4:4" ht="15.75" customHeight="1" x14ac:dyDescent="0.25">
      <c r="D273" s="23"/>
    </row>
    <row r="274" spans="4:4" ht="15.75" customHeight="1" x14ac:dyDescent="0.25">
      <c r="D274" s="23"/>
    </row>
    <row r="275" spans="4:4" ht="15.75" customHeight="1" x14ac:dyDescent="0.25">
      <c r="D275" s="23"/>
    </row>
    <row r="276" spans="4:4" ht="15.75" customHeight="1" x14ac:dyDescent="0.25">
      <c r="D276" s="23"/>
    </row>
    <row r="277" spans="4:4" ht="15.75" customHeight="1" x14ac:dyDescent="0.25">
      <c r="D277" s="23"/>
    </row>
    <row r="278" spans="4:4" ht="15.75" customHeight="1" x14ac:dyDescent="0.25">
      <c r="D278" s="23"/>
    </row>
    <row r="279" spans="4:4" ht="15.75" customHeight="1" x14ac:dyDescent="0.25">
      <c r="D279" s="23"/>
    </row>
    <row r="280" spans="4:4" ht="15.75" customHeight="1" x14ac:dyDescent="0.25">
      <c r="D280" s="23"/>
    </row>
    <row r="281" spans="4:4" ht="15.75" customHeight="1" x14ac:dyDescent="0.25">
      <c r="D281" s="23"/>
    </row>
    <row r="282" spans="4:4" ht="15.75" customHeight="1" x14ac:dyDescent="0.25">
      <c r="D282" s="23"/>
    </row>
    <row r="283" spans="4:4" ht="15.75" customHeight="1" x14ac:dyDescent="0.25">
      <c r="D283" s="23"/>
    </row>
    <row r="284" spans="4:4" ht="15.75" customHeight="1" x14ac:dyDescent="0.25">
      <c r="D284" s="23"/>
    </row>
    <row r="285" spans="4:4" ht="15.75" customHeight="1" x14ac:dyDescent="0.25">
      <c r="D285" s="23"/>
    </row>
    <row r="286" spans="4:4" ht="15.75" customHeight="1" x14ac:dyDescent="0.25">
      <c r="D286" s="23"/>
    </row>
    <row r="287" spans="4:4" ht="15.75" customHeight="1" x14ac:dyDescent="0.25">
      <c r="D287" s="23"/>
    </row>
    <row r="288" spans="4:4" ht="15.75" customHeight="1" x14ac:dyDescent="0.25">
      <c r="D288" s="23"/>
    </row>
    <row r="289" spans="4:4" ht="15.75" customHeight="1" x14ac:dyDescent="0.25">
      <c r="D289" s="23"/>
    </row>
    <row r="290" spans="4:4" ht="15.75" customHeight="1" x14ac:dyDescent="0.25">
      <c r="D290" s="23"/>
    </row>
    <row r="291" spans="4:4" ht="15.75" customHeight="1" x14ac:dyDescent="0.25">
      <c r="D291" s="23"/>
    </row>
    <row r="292" spans="4:4" ht="15.75" customHeight="1" x14ac:dyDescent="0.25">
      <c r="D292" s="23"/>
    </row>
    <row r="293" spans="4:4" ht="15.75" customHeight="1" x14ac:dyDescent="0.25">
      <c r="D293" s="23"/>
    </row>
    <row r="294" spans="4:4" ht="15.75" customHeight="1" x14ac:dyDescent="0.25">
      <c r="D294" s="23"/>
    </row>
    <row r="295" spans="4:4" ht="15.75" customHeight="1" x14ac:dyDescent="0.25">
      <c r="D295" s="23"/>
    </row>
    <row r="296" spans="4:4" ht="15.75" customHeight="1" x14ac:dyDescent="0.25">
      <c r="D296" s="23"/>
    </row>
    <row r="297" spans="4:4" ht="15.75" customHeight="1" x14ac:dyDescent="0.25">
      <c r="D297" s="23"/>
    </row>
    <row r="298" spans="4:4" ht="15.75" customHeight="1" x14ac:dyDescent="0.25">
      <c r="D298" s="23"/>
    </row>
    <row r="299" spans="4:4" ht="15.75" customHeight="1" x14ac:dyDescent="0.25">
      <c r="D299" s="23"/>
    </row>
    <row r="300" spans="4:4" ht="15.75" customHeight="1" x14ac:dyDescent="0.25">
      <c r="D300" s="23"/>
    </row>
    <row r="301" spans="4:4" ht="15.75" customHeight="1" x14ac:dyDescent="0.25">
      <c r="D301" s="23"/>
    </row>
    <row r="302" spans="4:4" ht="15.75" customHeight="1" x14ac:dyDescent="0.25">
      <c r="D302" s="23"/>
    </row>
    <row r="303" spans="4:4" ht="15.75" customHeight="1" x14ac:dyDescent="0.25">
      <c r="D303" s="23"/>
    </row>
    <row r="304" spans="4:4" ht="15.75" customHeight="1" x14ac:dyDescent="0.25">
      <c r="D304" s="23"/>
    </row>
    <row r="305" spans="4:4" ht="15.75" customHeight="1" x14ac:dyDescent="0.25">
      <c r="D305" s="23"/>
    </row>
    <row r="306" spans="4:4" ht="15.75" customHeight="1" x14ac:dyDescent="0.25">
      <c r="D306" s="23"/>
    </row>
    <row r="307" spans="4:4" ht="15.75" customHeight="1" x14ac:dyDescent="0.25">
      <c r="D307" s="23"/>
    </row>
    <row r="308" spans="4:4" ht="15.75" customHeight="1" x14ac:dyDescent="0.25">
      <c r="D308" s="23"/>
    </row>
    <row r="309" spans="4:4" ht="15.75" customHeight="1" x14ac:dyDescent="0.25">
      <c r="D309" s="23"/>
    </row>
    <row r="310" spans="4:4" ht="15.75" customHeight="1" x14ac:dyDescent="0.25">
      <c r="D310" s="23"/>
    </row>
    <row r="311" spans="4:4" ht="15.75" customHeight="1" x14ac:dyDescent="0.25">
      <c r="D311" s="23"/>
    </row>
    <row r="312" spans="4:4" ht="15.75" customHeight="1" x14ac:dyDescent="0.25">
      <c r="D312" s="23"/>
    </row>
    <row r="313" spans="4:4" ht="15.75" customHeight="1" x14ac:dyDescent="0.25">
      <c r="D313" s="23"/>
    </row>
    <row r="314" spans="4:4" ht="15.75" customHeight="1" x14ac:dyDescent="0.25">
      <c r="D314" s="23"/>
    </row>
    <row r="315" spans="4:4" ht="15.75" customHeight="1" x14ac:dyDescent="0.25">
      <c r="D315" s="23"/>
    </row>
    <row r="316" spans="4:4" ht="15.75" customHeight="1" x14ac:dyDescent="0.25">
      <c r="D316" s="23"/>
    </row>
    <row r="317" spans="4:4" ht="15.75" customHeight="1" x14ac:dyDescent="0.25">
      <c r="D317" s="23"/>
    </row>
    <row r="318" spans="4:4" ht="15.75" customHeight="1" x14ac:dyDescent="0.25">
      <c r="D318" s="23"/>
    </row>
    <row r="319" spans="4:4" ht="15.75" customHeight="1" x14ac:dyDescent="0.25">
      <c r="D319" s="23"/>
    </row>
    <row r="320" spans="4:4" ht="15.75" customHeight="1" x14ac:dyDescent="0.25">
      <c r="D320" s="23"/>
    </row>
    <row r="321" spans="4:4" ht="15.75" customHeight="1" x14ac:dyDescent="0.25">
      <c r="D321" s="23"/>
    </row>
    <row r="322" spans="4:4" ht="15.75" customHeight="1" x14ac:dyDescent="0.25">
      <c r="D322" s="23"/>
    </row>
    <row r="323" spans="4:4" ht="15.75" customHeight="1" x14ac:dyDescent="0.25">
      <c r="D323" s="23"/>
    </row>
    <row r="324" spans="4:4" ht="15.75" customHeight="1" x14ac:dyDescent="0.25">
      <c r="D324" s="23"/>
    </row>
    <row r="325" spans="4:4" ht="15.75" customHeight="1" x14ac:dyDescent="0.25">
      <c r="D325" s="23"/>
    </row>
    <row r="326" spans="4:4" ht="15.75" customHeight="1" x14ac:dyDescent="0.25">
      <c r="D326" s="23"/>
    </row>
    <row r="327" spans="4:4" ht="15.75" customHeight="1" x14ac:dyDescent="0.25">
      <c r="D327" s="23"/>
    </row>
    <row r="328" spans="4:4" ht="15.75" customHeight="1" x14ac:dyDescent="0.25">
      <c r="D328" s="23"/>
    </row>
    <row r="329" spans="4:4" ht="15.75" customHeight="1" x14ac:dyDescent="0.25">
      <c r="D329" s="23"/>
    </row>
    <row r="330" spans="4:4" ht="15.75" customHeight="1" x14ac:dyDescent="0.25">
      <c r="D330" s="23"/>
    </row>
    <row r="331" spans="4:4" ht="15.75" customHeight="1" x14ac:dyDescent="0.25">
      <c r="D331" s="23"/>
    </row>
    <row r="332" spans="4:4" ht="15.75" customHeight="1" x14ac:dyDescent="0.25">
      <c r="D332" s="23"/>
    </row>
    <row r="333" spans="4:4" ht="15.75" customHeight="1" x14ac:dyDescent="0.25">
      <c r="D333" s="23"/>
    </row>
    <row r="334" spans="4:4" ht="15.75" customHeight="1" x14ac:dyDescent="0.25">
      <c r="D334" s="23"/>
    </row>
    <row r="335" spans="4:4" ht="15.75" customHeight="1" x14ac:dyDescent="0.25">
      <c r="D335" s="23"/>
    </row>
    <row r="336" spans="4:4" ht="15.75" customHeight="1" x14ac:dyDescent="0.25">
      <c r="D336" s="23"/>
    </row>
    <row r="337" spans="4:4" ht="15.75" customHeight="1" x14ac:dyDescent="0.25">
      <c r="D337" s="23"/>
    </row>
    <row r="338" spans="4:4" ht="15.75" customHeight="1" x14ac:dyDescent="0.25">
      <c r="D338" s="23"/>
    </row>
    <row r="339" spans="4:4" ht="15.75" customHeight="1" x14ac:dyDescent="0.25">
      <c r="D339" s="23"/>
    </row>
    <row r="340" spans="4:4" ht="15.75" customHeight="1" x14ac:dyDescent="0.25">
      <c r="D340" s="23"/>
    </row>
    <row r="341" spans="4:4" ht="15.75" customHeight="1" x14ac:dyDescent="0.25">
      <c r="D341" s="23"/>
    </row>
    <row r="342" spans="4:4" ht="15.75" customHeight="1" x14ac:dyDescent="0.25">
      <c r="D342" s="23"/>
    </row>
    <row r="343" spans="4:4" ht="15.75" customHeight="1" x14ac:dyDescent="0.25">
      <c r="D343" s="23"/>
    </row>
    <row r="344" spans="4:4" ht="15.75" customHeight="1" x14ac:dyDescent="0.25">
      <c r="D344" s="23"/>
    </row>
    <row r="345" spans="4:4" ht="15.75" customHeight="1" x14ac:dyDescent="0.25">
      <c r="D345" s="23"/>
    </row>
    <row r="346" spans="4:4" ht="15.75" customHeight="1" x14ac:dyDescent="0.25">
      <c r="D346" s="23"/>
    </row>
    <row r="347" spans="4:4" ht="15.75" customHeight="1" x14ac:dyDescent="0.25">
      <c r="D347" s="23"/>
    </row>
    <row r="348" spans="4:4" ht="15.75" customHeight="1" x14ac:dyDescent="0.25">
      <c r="D348" s="23"/>
    </row>
    <row r="349" spans="4:4" ht="15.75" customHeight="1" x14ac:dyDescent="0.25">
      <c r="D349" s="23"/>
    </row>
    <row r="350" spans="4:4" ht="15.75" customHeight="1" x14ac:dyDescent="0.25">
      <c r="D350" s="23"/>
    </row>
    <row r="351" spans="4:4" ht="15.75" customHeight="1" x14ac:dyDescent="0.25">
      <c r="D351" s="23"/>
    </row>
    <row r="352" spans="4:4" ht="15.75" customHeight="1" x14ac:dyDescent="0.25">
      <c r="D352" s="23"/>
    </row>
    <row r="353" spans="4:4" ht="15.75" customHeight="1" x14ac:dyDescent="0.25">
      <c r="D353" s="23"/>
    </row>
    <row r="354" spans="4:4" ht="15.75" customHeight="1" x14ac:dyDescent="0.25">
      <c r="D354" s="23"/>
    </row>
    <row r="355" spans="4:4" ht="15.75" customHeight="1" x14ac:dyDescent="0.25">
      <c r="D355" s="23"/>
    </row>
    <row r="356" spans="4:4" ht="15.75" customHeight="1" x14ac:dyDescent="0.25">
      <c r="D356" s="23"/>
    </row>
    <row r="357" spans="4:4" ht="15.75" customHeight="1" x14ac:dyDescent="0.25">
      <c r="D357" s="23"/>
    </row>
    <row r="358" spans="4:4" ht="15.75" customHeight="1" x14ac:dyDescent="0.25">
      <c r="D358" s="23"/>
    </row>
    <row r="359" spans="4:4" ht="15.75" customHeight="1" x14ac:dyDescent="0.25">
      <c r="D359" s="23"/>
    </row>
    <row r="360" spans="4:4" ht="15.75" customHeight="1" x14ac:dyDescent="0.25">
      <c r="D360" s="23"/>
    </row>
    <row r="361" spans="4:4" ht="15.75" customHeight="1" x14ac:dyDescent="0.25">
      <c r="D361" s="23"/>
    </row>
    <row r="362" spans="4:4" ht="15.75" customHeight="1" x14ac:dyDescent="0.25">
      <c r="D362" s="23"/>
    </row>
    <row r="363" spans="4:4" ht="15.75" customHeight="1" x14ac:dyDescent="0.25">
      <c r="D363" s="23"/>
    </row>
    <row r="364" spans="4:4" ht="15.75" customHeight="1" x14ac:dyDescent="0.25">
      <c r="D364" s="23"/>
    </row>
    <row r="365" spans="4:4" ht="15.75" customHeight="1" x14ac:dyDescent="0.25">
      <c r="D365" s="23"/>
    </row>
    <row r="366" spans="4:4" ht="15.75" customHeight="1" x14ac:dyDescent="0.25">
      <c r="D366" s="23"/>
    </row>
    <row r="367" spans="4:4" ht="15.75" customHeight="1" x14ac:dyDescent="0.25">
      <c r="D367" s="23"/>
    </row>
    <row r="368" spans="4:4" ht="15.75" customHeight="1" x14ac:dyDescent="0.25">
      <c r="D368" s="23"/>
    </row>
    <row r="369" spans="4:4" ht="15.75" customHeight="1" x14ac:dyDescent="0.25">
      <c r="D369" s="23"/>
    </row>
    <row r="370" spans="4:4" ht="15.75" customHeight="1" x14ac:dyDescent="0.25">
      <c r="D370" s="23"/>
    </row>
    <row r="371" spans="4:4" ht="15.75" customHeight="1" x14ac:dyDescent="0.25">
      <c r="D371" s="23"/>
    </row>
    <row r="372" spans="4:4" ht="15.75" customHeight="1" x14ac:dyDescent="0.25">
      <c r="D372" s="23"/>
    </row>
    <row r="373" spans="4:4" ht="15.75" customHeight="1" x14ac:dyDescent="0.25">
      <c r="D373" s="23"/>
    </row>
    <row r="374" spans="4:4" ht="15.75" customHeight="1" x14ac:dyDescent="0.25">
      <c r="D374" s="23"/>
    </row>
    <row r="375" spans="4:4" ht="15.75" customHeight="1" x14ac:dyDescent="0.25">
      <c r="D375" s="23"/>
    </row>
    <row r="376" spans="4:4" ht="15.75" customHeight="1" x14ac:dyDescent="0.25">
      <c r="D376" s="23"/>
    </row>
    <row r="377" spans="4:4" ht="15.75" customHeight="1" x14ac:dyDescent="0.25">
      <c r="D377" s="23"/>
    </row>
    <row r="378" spans="4:4" ht="15.75" customHeight="1" x14ac:dyDescent="0.25">
      <c r="D378" s="23"/>
    </row>
    <row r="379" spans="4:4" ht="15.75" customHeight="1" x14ac:dyDescent="0.25">
      <c r="D379" s="23"/>
    </row>
    <row r="380" spans="4:4" ht="15.75" customHeight="1" x14ac:dyDescent="0.25">
      <c r="D380" s="23"/>
    </row>
    <row r="381" spans="4:4" ht="15.75" customHeight="1" x14ac:dyDescent="0.25">
      <c r="D381" s="23"/>
    </row>
    <row r="382" spans="4:4" ht="15.75" customHeight="1" x14ac:dyDescent="0.25">
      <c r="D382" s="23"/>
    </row>
    <row r="383" spans="4:4" ht="15.75" customHeight="1" x14ac:dyDescent="0.25">
      <c r="D383" s="23"/>
    </row>
    <row r="384" spans="4:4" ht="15.75" customHeight="1" x14ac:dyDescent="0.25">
      <c r="D384" s="23"/>
    </row>
    <row r="385" spans="4:4" ht="15.75" customHeight="1" x14ac:dyDescent="0.25">
      <c r="D385" s="23"/>
    </row>
    <row r="386" spans="4:4" ht="15.75" customHeight="1" x14ac:dyDescent="0.25">
      <c r="D386" s="23"/>
    </row>
    <row r="387" spans="4:4" ht="15.75" customHeight="1" x14ac:dyDescent="0.25">
      <c r="D387" s="23"/>
    </row>
    <row r="388" spans="4:4" ht="15.75" customHeight="1" x14ac:dyDescent="0.25">
      <c r="D388" s="23"/>
    </row>
    <row r="389" spans="4:4" ht="15.75" customHeight="1" x14ac:dyDescent="0.25">
      <c r="D389" s="23"/>
    </row>
    <row r="390" spans="4:4" ht="15.75" customHeight="1" x14ac:dyDescent="0.25">
      <c r="D390" s="23"/>
    </row>
    <row r="391" spans="4:4" ht="15.75" customHeight="1" x14ac:dyDescent="0.25">
      <c r="D391" s="23"/>
    </row>
    <row r="392" spans="4:4" ht="15.75" customHeight="1" x14ac:dyDescent="0.25">
      <c r="D392" s="23"/>
    </row>
    <row r="393" spans="4:4" ht="15.75" customHeight="1" x14ac:dyDescent="0.25">
      <c r="D393" s="23"/>
    </row>
    <row r="394" spans="4:4" ht="15.75" customHeight="1" x14ac:dyDescent="0.25">
      <c r="D394" s="23"/>
    </row>
    <row r="395" spans="4:4" ht="15.75" customHeight="1" x14ac:dyDescent="0.25">
      <c r="D395" s="23"/>
    </row>
    <row r="396" spans="4:4" ht="15.75" customHeight="1" x14ac:dyDescent="0.25">
      <c r="D396" s="23"/>
    </row>
    <row r="397" spans="4:4" ht="15.75" customHeight="1" x14ac:dyDescent="0.25">
      <c r="D397" s="23"/>
    </row>
    <row r="398" spans="4:4" ht="15.75" customHeight="1" x14ac:dyDescent="0.25">
      <c r="D398" s="23"/>
    </row>
    <row r="399" spans="4:4" ht="15.75" customHeight="1" x14ac:dyDescent="0.25">
      <c r="D399" s="23"/>
    </row>
    <row r="400" spans="4:4" ht="15.75" customHeight="1" x14ac:dyDescent="0.25">
      <c r="D400" s="23"/>
    </row>
    <row r="401" spans="4:4" ht="15.75" customHeight="1" x14ac:dyDescent="0.25">
      <c r="D401" s="23"/>
    </row>
    <row r="402" spans="4:4" ht="15.75" customHeight="1" x14ac:dyDescent="0.25">
      <c r="D402" s="23"/>
    </row>
    <row r="403" spans="4:4" ht="15.75" customHeight="1" x14ac:dyDescent="0.25">
      <c r="D403" s="23"/>
    </row>
    <row r="404" spans="4:4" ht="15.75" customHeight="1" x14ac:dyDescent="0.25">
      <c r="D404" s="23"/>
    </row>
    <row r="405" spans="4:4" ht="15.75" customHeight="1" x14ac:dyDescent="0.25">
      <c r="D405" s="23"/>
    </row>
    <row r="406" spans="4:4" ht="15.75" customHeight="1" x14ac:dyDescent="0.25">
      <c r="D406" s="23"/>
    </row>
    <row r="407" spans="4:4" ht="15.75" customHeight="1" x14ac:dyDescent="0.25">
      <c r="D407" s="23"/>
    </row>
    <row r="408" spans="4:4" ht="15.75" customHeight="1" x14ac:dyDescent="0.25">
      <c r="D408" s="23"/>
    </row>
    <row r="409" spans="4:4" ht="15.75" customHeight="1" x14ac:dyDescent="0.25">
      <c r="D409" s="23"/>
    </row>
    <row r="410" spans="4:4" ht="15.75" customHeight="1" x14ac:dyDescent="0.25">
      <c r="D410" s="23"/>
    </row>
    <row r="411" spans="4:4" ht="15.75" customHeight="1" x14ac:dyDescent="0.25">
      <c r="D411" s="23"/>
    </row>
    <row r="412" spans="4:4" ht="15.75" customHeight="1" x14ac:dyDescent="0.25">
      <c r="D412" s="23"/>
    </row>
    <row r="413" spans="4:4" ht="15.75" customHeight="1" x14ac:dyDescent="0.25">
      <c r="D413" s="23"/>
    </row>
    <row r="414" spans="4:4" ht="15.75" customHeight="1" x14ac:dyDescent="0.25">
      <c r="D414" s="23"/>
    </row>
    <row r="415" spans="4:4" ht="15.75" customHeight="1" x14ac:dyDescent="0.25">
      <c r="D415" s="23"/>
    </row>
    <row r="416" spans="4:4" ht="15.75" customHeight="1" x14ac:dyDescent="0.25">
      <c r="D416" s="23"/>
    </row>
    <row r="417" spans="4:4" ht="15.75" customHeight="1" x14ac:dyDescent="0.25">
      <c r="D417" s="23"/>
    </row>
    <row r="418" spans="4:4" ht="15.75" customHeight="1" x14ac:dyDescent="0.25">
      <c r="D418" s="23"/>
    </row>
    <row r="419" spans="4:4" ht="15.75" customHeight="1" x14ac:dyDescent="0.25">
      <c r="D419" s="23"/>
    </row>
    <row r="420" spans="4:4" ht="15.75" customHeight="1" x14ac:dyDescent="0.25">
      <c r="D420" s="23"/>
    </row>
    <row r="421" spans="4:4" ht="15.75" customHeight="1" x14ac:dyDescent="0.25">
      <c r="D421" s="23"/>
    </row>
    <row r="422" spans="4:4" ht="15.75" customHeight="1" x14ac:dyDescent="0.25">
      <c r="D422" s="23"/>
    </row>
    <row r="423" spans="4:4" ht="15.75" customHeight="1" x14ac:dyDescent="0.25">
      <c r="D423" s="23"/>
    </row>
    <row r="424" spans="4:4" ht="15.75" customHeight="1" x14ac:dyDescent="0.25">
      <c r="D424" s="23"/>
    </row>
    <row r="425" spans="4:4" ht="15.75" customHeight="1" x14ac:dyDescent="0.25">
      <c r="D425" s="23"/>
    </row>
    <row r="426" spans="4:4" ht="15.75" customHeight="1" x14ac:dyDescent="0.25">
      <c r="D426" s="23"/>
    </row>
    <row r="427" spans="4:4" ht="15.75" customHeight="1" x14ac:dyDescent="0.25">
      <c r="D427" s="23"/>
    </row>
    <row r="428" spans="4:4" ht="15.75" customHeight="1" x14ac:dyDescent="0.25">
      <c r="D428" s="23"/>
    </row>
    <row r="429" spans="4:4" ht="15.75" customHeight="1" x14ac:dyDescent="0.25">
      <c r="D429" s="23"/>
    </row>
    <row r="430" spans="4:4" ht="15.75" customHeight="1" x14ac:dyDescent="0.25">
      <c r="D430" s="23"/>
    </row>
    <row r="431" spans="4:4" ht="15.75" customHeight="1" x14ac:dyDescent="0.25">
      <c r="D431" s="23"/>
    </row>
    <row r="432" spans="4:4" ht="15.75" customHeight="1" x14ac:dyDescent="0.25">
      <c r="D432" s="23"/>
    </row>
    <row r="433" spans="4:4" ht="15.75" customHeight="1" x14ac:dyDescent="0.25">
      <c r="D433" s="23"/>
    </row>
    <row r="434" spans="4:4" ht="15.75" customHeight="1" x14ac:dyDescent="0.25">
      <c r="D434" s="23"/>
    </row>
    <row r="435" spans="4:4" ht="15.75" customHeight="1" x14ac:dyDescent="0.25">
      <c r="D435" s="23"/>
    </row>
    <row r="436" spans="4:4" ht="15.75" customHeight="1" x14ac:dyDescent="0.25">
      <c r="D436" s="23"/>
    </row>
    <row r="437" spans="4:4" ht="15.75" customHeight="1" x14ac:dyDescent="0.25">
      <c r="D437" s="23"/>
    </row>
    <row r="438" spans="4:4" ht="15.75" customHeight="1" x14ac:dyDescent="0.25">
      <c r="D438" s="23"/>
    </row>
    <row r="439" spans="4:4" ht="15.75" customHeight="1" x14ac:dyDescent="0.25">
      <c r="D439" s="23"/>
    </row>
    <row r="440" spans="4:4" ht="15.75" customHeight="1" x14ac:dyDescent="0.25">
      <c r="D440" s="23"/>
    </row>
    <row r="441" spans="4:4" ht="15.75" customHeight="1" x14ac:dyDescent="0.25">
      <c r="D441" s="23"/>
    </row>
    <row r="442" spans="4:4" ht="15.75" customHeight="1" x14ac:dyDescent="0.25">
      <c r="D442" s="23"/>
    </row>
    <row r="443" spans="4:4" ht="15.75" customHeight="1" x14ac:dyDescent="0.25">
      <c r="D443" s="23"/>
    </row>
    <row r="444" spans="4:4" ht="15.75" customHeight="1" x14ac:dyDescent="0.25">
      <c r="D444" s="23"/>
    </row>
    <row r="445" spans="4:4" ht="15.75" customHeight="1" x14ac:dyDescent="0.25">
      <c r="D445" s="23"/>
    </row>
    <row r="446" spans="4:4" ht="15.75" customHeight="1" x14ac:dyDescent="0.25">
      <c r="D446" s="23"/>
    </row>
    <row r="447" spans="4:4" ht="15.75" customHeight="1" x14ac:dyDescent="0.25">
      <c r="D447" s="23"/>
    </row>
    <row r="448" spans="4:4" ht="15.75" customHeight="1" x14ac:dyDescent="0.25">
      <c r="D448" s="23"/>
    </row>
    <row r="449" spans="4:4" ht="15.75" customHeight="1" x14ac:dyDescent="0.25">
      <c r="D449" s="23"/>
    </row>
    <row r="450" spans="4:4" ht="15.75" customHeight="1" x14ac:dyDescent="0.25">
      <c r="D450" s="23"/>
    </row>
    <row r="451" spans="4:4" ht="15.75" customHeight="1" x14ac:dyDescent="0.25">
      <c r="D451" s="23"/>
    </row>
    <row r="452" spans="4:4" ht="15.75" customHeight="1" x14ac:dyDescent="0.25">
      <c r="D452" s="23"/>
    </row>
    <row r="453" spans="4:4" ht="15.75" customHeight="1" x14ac:dyDescent="0.25">
      <c r="D453" s="23"/>
    </row>
    <row r="454" spans="4:4" ht="15.75" customHeight="1" x14ac:dyDescent="0.25">
      <c r="D454" s="23"/>
    </row>
    <row r="455" spans="4:4" ht="15.75" customHeight="1" x14ac:dyDescent="0.25">
      <c r="D455" s="23"/>
    </row>
    <row r="456" spans="4:4" ht="15.75" customHeight="1" x14ac:dyDescent="0.25">
      <c r="D456" s="23"/>
    </row>
    <row r="457" spans="4:4" ht="15.75" customHeight="1" x14ac:dyDescent="0.25">
      <c r="D457" s="23"/>
    </row>
    <row r="458" spans="4:4" ht="15.75" customHeight="1" x14ac:dyDescent="0.25">
      <c r="D458" s="23"/>
    </row>
    <row r="459" spans="4:4" ht="15.75" customHeight="1" x14ac:dyDescent="0.25">
      <c r="D459" s="23"/>
    </row>
    <row r="460" spans="4:4" ht="15.75" customHeight="1" x14ac:dyDescent="0.25">
      <c r="D460" s="23"/>
    </row>
    <row r="461" spans="4:4" ht="15.75" customHeight="1" x14ac:dyDescent="0.25">
      <c r="D461" s="23"/>
    </row>
    <row r="462" spans="4:4" ht="15.75" customHeight="1" x14ac:dyDescent="0.25">
      <c r="D462" s="23"/>
    </row>
    <row r="463" spans="4:4" ht="15.75" customHeight="1" x14ac:dyDescent="0.25">
      <c r="D463" s="23"/>
    </row>
    <row r="464" spans="4:4" ht="15.75" customHeight="1" x14ac:dyDescent="0.25">
      <c r="D464" s="23"/>
    </row>
    <row r="465" spans="4:4" ht="15.75" customHeight="1" x14ac:dyDescent="0.25">
      <c r="D465" s="23"/>
    </row>
    <row r="466" spans="4:4" ht="15.75" customHeight="1" x14ac:dyDescent="0.25">
      <c r="D466" s="23"/>
    </row>
    <row r="467" spans="4:4" ht="15.75" customHeight="1" x14ac:dyDescent="0.25">
      <c r="D467" s="23"/>
    </row>
    <row r="468" spans="4:4" ht="15.75" customHeight="1" x14ac:dyDescent="0.25">
      <c r="D468" s="23"/>
    </row>
    <row r="469" spans="4:4" ht="15.75" customHeight="1" x14ac:dyDescent="0.25">
      <c r="D469" s="23"/>
    </row>
    <row r="470" spans="4:4" ht="15.75" customHeight="1" x14ac:dyDescent="0.25">
      <c r="D470" s="23"/>
    </row>
    <row r="471" spans="4:4" ht="15.75" customHeight="1" x14ac:dyDescent="0.25">
      <c r="D471" s="23"/>
    </row>
    <row r="472" spans="4:4" ht="15.75" customHeight="1" x14ac:dyDescent="0.25">
      <c r="D472" s="23"/>
    </row>
    <row r="473" spans="4:4" ht="15.75" customHeight="1" x14ac:dyDescent="0.25">
      <c r="D473" s="23"/>
    </row>
    <row r="474" spans="4:4" ht="15.75" customHeight="1" x14ac:dyDescent="0.25">
      <c r="D474" s="23"/>
    </row>
    <row r="475" spans="4:4" ht="15.75" customHeight="1" x14ac:dyDescent="0.25">
      <c r="D475" s="23"/>
    </row>
    <row r="476" spans="4:4" ht="15.75" customHeight="1" x14ac:dyDescent="0.25">
      <c r="D476" s="23"/>
    </row>
    <row r="477" spans="4:4" ht="15.75" customHeight="1" x14ac:dyDescent="0.25">
      <c r="D477" s="23"/>
    </row>
    <row r="478" spans="4:4" ht="15.75" customHeight="1" x14ac:dyDescent="0.25">
      <c r="D478" s="23"/>
    </row>
    <row r="479" spans="4:4" ht="15.75" customHeight="1" x14ac:dyDescent="0.25">
      <c r="D479" s="23"/>
    </row>
    <row r="480" spans="4:4" ht="15.75" customHeight="1" x14ac:dyDescent="0.25">
      <c r="D480" s="23"/>
    </row>
    <row r="481" spans="4:4" ht="15.75" customHeight="1" x14ac:dyDescent="0.25">
      <c r="D481" s="23"/>
    </row>
    <row r="482" spans="4:4" ht="15.75" customHeight="1" x14ac:dyDescent="0.25">
      <c r="D482" s="23"/>
    </row>
    <row r="483" spans="4:4" ht="15.75" customHeight="1" x14ac:dyDescent="0.25">
      <c r="D483" s="23"/>
    </row>
    <row r="484" spans="4:4" ht="15.75" customHeight="1" x14ac:dyDescent="0.25">
      <c r="D484" s="23"/>
    </row>
    <row r="485" spans="4:4" ht="15.75" customHeight="1" x14ac:dyDescent="0.25">
      <c r="D485" s="23"/>
    </row>
    <row r="486" spans="4:4" ht="15.75" customHeight="1" x14ac:dyDescent="0.25">
      <c r="D486" s="23"/>
    </row>
    <row r="487" spans="4:4" ht="15.75" customHeight="1" x14ac:dyDescent="0.25">
      <c r="D487" s="23"/>
    </row>
    <row r="488" spans="4:4" ht="15.75" customHeight="1" x14ac:dyDescent="0.25">
      <c r="D488" s="23"/>
    </row>
    <row r="489" spans="4:4" ht="15.75" customHeight="1" x14ac:dyDescent="0.25">
      <c r="D489" s="23"/>
    </row>
    <row r="490" spans="4:4" ht="15.75" customHeight="1" x14ac:dyDescent="0.25">
      <c r="D490" s="23"/>
    </row>
    <row r="491" spans="4:4" ht="15.75" customHeight="1" x14ac:dyDescent="0.25">
      <c r="D491" s="23"/>
    </row>
    <row r="492" spans="4:4" ht="15.75" customHeight="1" x14ac:dyDescent="0.25">
      <c r="D492" s="23"/>
    </row>
    <row r="493" spans="4:4" ht="15.75" customHeight="1" x14ac:dyDescent="0.25">
      <c r="D493" s="23"/>
    </row>
    <row r="494" spans="4:4" ht="15.75" customHeight="1" x14ac:dyDescent="0.25">
      <c r="D494" s="23"/>
    </row>
    <row r="495" spans="4:4" ht="15.75" customHeight="1" x14ac:dyDescent="0.25">
      <c r="D495" s="23"/>
    </row>
    <row r="496" spans="4:4" ht="15.75" customHeight="1" x14ac:dyDescent="0.25">
      <c r="D496" s="23"/>
    </row>
    <row r="497" spans="4:4" ht="15.75" customHeight="1" x14ac:dyDescent="0.25">
      <c r="D497" s="23"/>
    </row>
    <row r="498" spans="4:4" ht="15.75" customHeight="1" x14ac:dyDescent="0.25">
      <c r="D498" s="23"/>
    </row>
    <row r="499" spans="4:4" ht="15.75" customHeight="1" x14ac:dyDescent="0.25">
      <c r="D499" s="23"/>
    </row>
    <row r="500" spans="4:4" ht="15.75" customHeight="1" x14ac:dyDescent="0.25">
      <c r="D500" s="23"/>
    </row>
    <row r="501" spans="4:4" ht="15.75" customHeight="1" x14ac:dyDescent="0.25">
      <c r="D501" s="23"/>
    </row>
    <row r="502" spans="4:4" ht="15.75" customHeight="1" x14ac:dyDescent="0.25">
      <c r="D502" s="23"/>
    </row>
    <row r="503" spans="4:4" ht="15.75" customHeight="1" x14ac:dyDescent="0.25">
      <c r="D503" s="23"/>
    </row>
    <row r="504" spans="4:4" ht="15.75" customHeight="1" x14ac:dyDescent="0.25">
      <c r="D504" s="23"/>
    </row>
    <row r="505" spans="4:4" ht="15.75" customHeight="1" x14ac:dyDescent="0.25">
      <c r="D505" s="23"/>
    </row>
    <row r="506" spans="4:4" ht="15.75" customHeight="1" x14ac:dyDescent="0.25">
      <c r="D506" s="23"/>
    </row>
    <row r="507" spans="4:4" ht="15.75" customHeight="1" x14ac:dyDescent="0.25">
      <c r="D507" s="23"/>
    </row>
    <row r="508" spans="4:4" ht="15.75" customHeight="1" x14ac:dyDescent="0.25">
      <c r="D508" s="23"/>
    </row>
    <row r="509" spans="4:4" ht="15.75" customHeight="1" x14ac:dyDescent="0.25">
      <c r="D509" s="23"/>
    </row>
    <row r="510" spans="4:4" ht="15.75" customHeight="1" x14ac:dyDescent="0.25">
      <c r="D510" s="23"/>
    </row>
    <row r="511" spans="4:4" ht="15.75" customHeight="1" x14ac:dyDescent="0.25">
      <c r="D511" s="23"/>
    </row>
    <row r="512" spans="4:4" ht="15.75" customHeight="1" x14ac:dyDescent="0.25">
      <c r="D512" s="23"/>
    </row>
    <row r="513" spans="4:4" ht="15.75" customHeight="1" x14ac:dyDescent="0.25">
      <c r="D513" s="23"/>
    </row>
    <row r="514" spans="4:4" ht="15.75" customHeight="1" x14ac:dyDescent="0.25">
      <c r="D514" s="23"/>
    </row>
    <row r="515" spans="4:4" ht="15.75" customHeight="1" x14ac:dyDescent="0.25">
      <c r="D515" s="23"/>
    </row>
    <row r="516" spans="4:4" ht="15.75" customHeight="1" x14ac:dyDescent="0.25">
      <c r="D516" s="23"/>
    </row>
    <row r="517" spans="4:4" ht="15.75" customHeight="1" x14ac:dyDescent="0.25">
      <c r="D517" s="23"/>
    </row>
    <row r="518" spans="4:4" ht="15.75" customHeight="1" x14ac:dyDescent="0.25">
      <c r="D518" s="23"/>
    </row>
    <row r="519" spans="4:4" ht="15.75" customHeight="1" x14ac:dyDescent="0.25">
      <c r="D519" s="23"/>
    </row>
    <row r="520" spans="4:4" ht="15.75" customHeight="1" x14ac:dyDescent="0.25">
      <c r="D520" s="23"/>
    </row>
    <row r="521" spans="4:4" ht="15.75" customHeight="1" x14ac:dyDescent="0.25">
      <c r="D521" s="23"/>
    </row>
    <row r="522" spans="4:4" ht="15.75" customHeight="1" x14ac:dyDescent="0.25">
      <c r="D522" s="23"/>
    </row>
    <row r="523" spans="4:4" ht="15.75" customHeight="1" x14ac:dyDescent="0.25">
      <c r="D523" s="23"/>
    </row>
    <row r="524" spans="4:4" ht="15.75" customHeight="1" x14ac:dyDescent="0.25">
      <c r="D524" s="23"/>
    </row>
    <row r="525" spans="4:4" ht="15.75" customHeight="1" x14ac:dyDescent="0.25">
      <c r="D525" s="23"/>
    </row>
    <row r="526" spans="4:4" ht="15.75" customHeight="1" x14ac:dyDescent="0.25">
      <c r="D526" s="23"/>
    </row>
    <row r="527" spans="4:4" ht="15.75" customHeight="1" x14ac:dyDescent="0.25">
      <c r="D527" s="23"/>
    </row>
    <row r="528" spans="4:4" ht="15.75" customHeight="1" x14ac:dyDescent="0.25">
      <c r="D528" s="23"/>
    </row>
    <row r="529" spans="4:4" ht="15.75" customHeight="1" x14ac:dyDescent="0.25">
      <c r="D529" s="23"/>
    </row>
    <row r="530" spans="4:4" ht="15.75" customHeight="1" x14ac:dyDescent="0.25">
      <c r="D530" s="23"/>
    </row>
    <row r="531" spans="4:4" ht="15.75" customHeight="1" x14ac:dyDescent="0.25">
      <c r="D531" s="23"/>
    </row>
    <row r="532" spans="4:4" ht="15.75" customHeight="1" x14ac:dyDescent="0.25">
      <c r="D532" s="23"/>
    </row>
    <row r="533" spans="4:4" ht="15.75" customHeight="1" x14ac:dyDescent="0.25">
      <c r="D533" s="23"/>
    </row>
    <row r="534" spans="4:4" ht="15.75" customHeight="1" x14ac:dyDescent="0.25">
      <c r="D534" s="23"/>
    </row>
    <row r="535" spans="4:4" ht="15.75" customHeight="1" x14ac:dyDescent="0.25">
      <c r="D535" s="23"/>
    </row>
    <row r="536" spans="4:4" ht="15.75" customHeight="1" x14ac:dyDescent="0.25">
      <c r="D536" s="23"/>
    </row>
    <row r="537" spans="4:4" ht="15.75" customHeight="1" x14ac:dyDescent="0.25">
      <c r="D537" s="23"/>
    </row>
    <row r="538" spans="4:4" ht="15.75" customHeight="1" x14ac:dyDescent="0.25">
      <c r="D538" s="23"/>
    </row>
    <row r="539" spans="4:4" ht="15.75" customHeight="1" x14ac:dyDescent="0.25">
      <c r="D539" s="23"/>
    </row>
    <row r="540" spans="4:4" ht="15.75" customHeight="1" x14ac:dyDescent="0.25">
      <c r="D540" s="23"/>
    </row>
    <row r="541" spans="4:4" ht="15.75" customHeight="1" x14ac:dyDescent="0.25">
      <c r="D541" s="23"/>
    </row>
    <row r="542" spans="4:4" ht="15.75" customHeight="1" x14ac:dyDescent="0.25">
      <c r="D542" s="23"/>
    </row>
    <row r="543" spans="4:4" ht="15.75" customHeight="1" x14ac:dyDescent="0.25">
      <c r="D543" s="23"/>
    </row>
    <row r="544" spans="4:4" ht="15.75" customHeight="1" x14ac:dyDescent="0.25">
      <c r="D544" s="23"/>
    </row>
    <row r="545" spans="4:4" ht="15.75" customHeight="1" x14ac:dyDescent="0.25">
      <c r="D545" s="23"/>
    </row>
    <row r="546" spans="4:4" ht="15.75" customHeight="1" x14ac:dyDescent="0.25">
      <c r="D546" s="23"/>
    </row>
    <row r="547" spans="4:4" ht="15.75" customHeight="1" x14ac:dyDescent="0.25">
      <c r="D547" s="23"/>
    </row>
    <row r="548" spans="4:4" ht="15.75" customHeight="1" x14ac:dyDescent="0.25">
      <c r="D548" s="23"/>
    </row>
    <row r="549" spans="4:4" ht="15.75" customHeight="1" x14ac:dyDescent="0.25">
      <c r="D549" s="23"/>
    </row>
    <row r="550" spans="4:4" ht="15.75" customHeight="1" x14ac:dyDescent="0.25">
      <c r="D550" s="23"/>
    </row>
    <row r="551" spans="4:4" ht="15.75" customHeight="1" x14ac:dyDescent="0.25">
      <c r="D551" s="23"/>
    </row>
    <row r="552" spans="4:4" ht="15.75" customHeight="1" x14ac:dyDescent="0.25">
      <c r="D552" s="23"/>
    </row>
    <row r="553" spans="4:4" ht="15.75" customHeight="1" x14ac:dyDescent="0.25">
      <c r="D553" s="23"/>
    </row>
    <row r="554" spans="4:4" ht="15.75" customHeight="1" x14ac:dyDescent="0.25">
      <c r="D554" s="23"/>
    </row>
    <row r="555" spans="4:4" ht="15.75" customHeight="1" x14ac:dyDescent="0.25">
      <c r="D555" s="23"/>
    </row>
    <row r="556" spans="4:4" ht="15.75" customHeight="1" x14ac:dyDescent="0.25">
      <c r="D556" s="23"/>
    </row>
    <row r="557" spans="4:4" ht="15.75" customHeight="1" x14ac:dyDescent="0.25">
      <c r="D557" s="23"/>
    </row>
    <row r="558" spans="4:4" ht="15.75" customHeight="1" x14ac:dyDescent="0.25">
      <c r="D558" s="23"/>
    </row>
    <row r="559" spans="4:4" ht="15.75" customHeight="1" x14ac:dyDescent="0.25">
      <c r="D559" s="23"/>
    </row>
    <row r="560" spans="4:4" ht="15.75" customHeight="1" x14ac:dyDescent="0.25">
      <c r="D560" s="23"/>
    </row>
    <row r="561" spans="4:4" ht="15.75" customHeight="1" x14ac:dyDescent="0.25">
      <c r="D561" s="23"/>
    </row>
    <row r="562" spans="4:4" ht="15.75" customHeight="1" x14ac:dyDescent="0.25">
      <c r="D562" s="23"/>
    </row>
    <row r="563" spans="4:4" ht="15.75" customHeight="1" x14ac:dyDescent="0.25">
      <c r="D563" s="23"/>
    </row>
    <row r="564" spans="4:4" ht="15.75" customHeight="1" x14ac:dyDescent="0.25">
      <c r="D564" s="23"/>
    </row>
    <row r="565" spans="4:4" ht="15.75" customHeight="1" x14ac:dyDescent="0.25">
      <c r="D565" s="23"/>
    </row>
    <row r="566" spans="4:4" ht="15.75" customHeight="1" x14ac:dyDescent="0.25">
      <c r="D566" s="23"/>
    </row>
    <row r="567" spans="4:4" ht="15.75" customHeight="1" x14ac:dyDescent="0.25">
      <c r="D567" s="23"/>
    </row>
    <row r="568" spans="4:4" ht="15.75" customHeight="1" x14ac:dyDescent="0.25">
      <c r="D568" s="23"/>
    </row>
    <row r="569" spans="4:4" ht="15.75" customHeight="1" x14ac:dyDescent="0.25">
      <c r="D569" s="23"/>
    </row>
    <row r="570" spans="4:4" ht="15.75" customHeight="1" x14ac:dyDescent="0.25">
      <c r="D570" s="23"/>
    </row>
    <row r="571" spans="4:4" ht="15.75" customHeight="1" x14ac:dyDescent="0.25">
      <c r="D571" s="23"/>
    </row>
    <row r="572" spans="4:4" ht="15.75" customHeight="1" x14ac:dyDescent="0.25">
      <c r="D572" s="23"/>
    </row>
    <row r="573" spans="4:4" ht="15.75" customHeight="1" x14ac:dyDescent="0.25">
      <c r="D573" s="23"/>
    </row>
    <row r="574" spans="4:4" ht="15.75" customHeight="1" x14ac:dyDescent="0.25">
      <c r="D574" s="23"/>
    </row>
    <row r="575" spans="4:4" ht="15.75" customHeight="1" x14ac:dyDescent="0.25">
      <c r="D575" s="23"/>
    </row>
    <row r="576" spans="4:4" ht="15.75" customHeight="1" x14ac:dyDescent="0.25">
      <c r="D576" s="23"/>
    </row>
    <row r="577" spans="4:4" ht="15.75" customHeight="1" x14ac:dyDescent="0.25">
      <c r="D577" s="23"/>
    </row>
    <row r="578" spans="4:4" ht="15.75" customHeight="1" x14ac:dyDescent="0.25">
      <c r="D578" s="23"/>
    </row>
    <row r="579" spans="4:4" ht="15.75" customHeight="1" x14ac:dyDescent="0.25">
      <c r="D579" s="23"/>
    </row>
    <row r="580" spans="4:4" ht="15.75" customHeight="1" x14ac:dyDescent="0.25">
      <c r="D580" s="23"/>
    </row>
    <row r="581" spans="4:4" ht="15.75" customHeight="1" x14ac:dyDescent="0.25">
      <c r="D581" s="23"/>
    </row>
    <row r="582" spans="4:4" ht="15.75" customHeight="1" x14ac:dyDescent="0.25">
      <c r="D582" s="23"/>
    </row>
    <row r="583" spans="4:4" ht="15.75" customHeight="1" x14ac:dyDescent="0.25">
      <c r="D583" s="23"/>
    </row>
    <row r="584" spans="4:4" ht="15.75" customHeight="1" x14ac:dyDescent="0.25">
      <c r="D584" s="23"/>
    </row>
    <row r="585" spans="4:4" ht="15.75" customHeight="1" x14ac:dyDescent="0.25">
      <c r="D585" s="23"/>
    </row>
    <row r="586" spans="4:4" ht="15.75" customHeight="1" x14ac:dyDescent="0.25">
      <c r="D586" s="23"/>
    </row>
    <row r="587" spans="4:4" ht="15.75" customHeight="1" x14ac:dyDescent="0.25">
      <c r="D587" s="23"/>
    </row>
    <row r="588" spans="4:4" ht="15.75" customHeight="1" x14ac:dyDescent="0.25">
      <c r="D588" s="23"/>
    </row>
    <row r="589" spans="4:4" ht="15.75" customHeight="1" x14ac:dyDescent="0.25">
      <c r="D589" s="23"/>
    </row>
    <row r="590" spans="4:4" ht="15.75" customHeight="1" x14ac:dyDescent="0.25">
      <c r="D590" s="23"/>
    </row>
    <row r="591" spans="4:4" ht="15.75" customHeight="1" x14ac:dyDescent="0.25">
      <c r="D591" s="23"/>
    </row>
    <row r="592" spans="4:4" ht="15.75" customHeight="1" x14ac:dyDescent="0.25">
      <c r="D592" s="23"/>
    </row>
    <row r="593" spans="4:4" ht="15.75" customHeight="1" x14ac:dyDescent="0.25">
      <c r="D593" s="23"/>
    </row>
    <row r="594" spans="4:4" ht="15.75" customHeight="1" x14ac:dyDescent="0.25">
      <c r="D594" s="23"/>
    </row>
    <row r="595" spans="4:4" ht="15.75" customHeight="1" x14ac:dyDescent="0.25">
      <c r="D595" s="23"/>
    </row>
    <row r="596" spans="4:4" ht="15.75" customHeight="1" x14ac:dyDescent="0.25">
      <c r="D596" s="23"/>
    </row>
    <row r="597" spans="4:4" ht="15.75" customHeight="1" x14ac:dyDescent="0.25">
      <c r="D597" s="23"/>
    </row>
    <row r="598" spans="4:4" ht="15.75" customHeight="1" x14ac:dyDescent="0.25">
      <c r="D598" s="23"/>
    </row>
    <row r="599" spans="4:4" ht="15.75" customHeight="1" x14ac:dyDescent="0.25">
      <c r="D599" s="23"/>
    </row>
    <row r="600" spans="4:4" ht="15.75" customHeight="1" x14ac:dyDescent="0.25">
      <c r="D600" s="23"/>
    </row>
    <row r="601" spans="4:4" ht="15.75" customHeight="1" x14ac:dyDescent="0.25">
      <c r="D601" s="23"/>
    </row>
    <row r="602" spans="4:4" ht="15.75" customHeight="1" x14ac:dyDescent="0.25">
      <c r="D602" s="23"/>
    </row>
    <row r="603" spans="4:4" ht="15.75" customHeight="1" x14ac:dyDescent="0.25">
      <c r="D603" s="23"/>
    </row>
    <row r="604" spans="4:4" ht="15.75" customHeight="1" x14ac:dyDescent="0.25">
      <c r="D604" s="23"/>
    </row>
    <row r="605" spans="4:4" ht="15.75" customHeight="1" x14ac:dyDescent="0.25">
      <c r="D605" s="23"/>
    </row>
    <row r="606" spans="4:4" ht="15.75" customHeight="1" x14ac:dyDescent="0.25">
      <c r="D606" s="23"/>
    </row>
    <row r="607" spans="4:4" ht="15.75" customHeight="1" x14ac:dyDescent="0.25">
      <c r="D607" s="23"/>
    </row>
    <row r="608" spans="4:4" ht="15.75" customHeight="1" x14ac:dyDescent="0.25">
      <c r="D608" s="23"/>
    </row>
    <row r="609" spans="4:4" ht="15.75" customHeight="1" x14ac:dyDescent="0.25">
      <c r="D609" s="23"/>
    </row>
    <row r="610" spans="4:4" ht="15.75" customHeight="1" x14ac:dyDescent="0.25">
      <c r="D610" s="23"/>
    </row>
    <row r="611" spans="4:4" ht="15.75" customHeight="1" x14ac:dyDescent="0.25">
      <c r="D611" s="23"/>
    </row>
    <row r="612" spans="4:4" ht="15.75" customHeight="1" x14ac:dyDescent="0.25">
      <c r="D612" s="23"/>
    </row>
    <row r="613" spans="4:4" ht="15.75" customHeight="1" x14ac:dyDescent="0.25">
      <c r="D613" s="23"/>
    </row>
    <row r="614" spans="4:4" ht="15.75" customHeight="1" x14ac:dyDescent="0.25">
      <c r="D614" s="23"/>
    </row>
    <row r="615" spans="4:4" ht="15.75" customHeight="1" x14ac:dyDescent="0.25">
      <c r="D615" s="23"/>
    </row>
    <row r="616" spans="4:4" ht="15.75" customHeight="1" x14ac:dyDescent="0.25">
      <c r="D616" s="23"/>
    </row>
    <row r="617" spans="4:4" ht="15.75" customHeight="1" x14ac:dyDescent="0.25">
      <c r="D617" s="23"/>
    </row>
    <row r="618" spans="4:4" ht="15.75" customHeight="1" x14ac:dyDescent="0.25">
      <c r="D618" s="23"/>
    </row>
    <row r="619" spans="4:4" ht="15.75" customHeight="1" x14ac:dyDescent="0.25">
      <c r="D619" s="23"/>
    </row>
    <row r="620" spans="4:4" ht="15.75" customHeight="1" x14ac:dyDescent="0.25">
      <c r="D620" s="23"/>
    </row>
    <row r="621" spans="4:4" ht="15.75" customHeight="1" x14ac:dyDescent="0.25">
      <c r="D621" s="23"/>
    </row>
    <row r="622" spans="4:4" ht="15.75" customHeight="1" x14ac:dyDescent="0.25">
      <c r="D622" s="23"/>
    </row>
    <row r="623" spans="4:4" ht="15.75" customHeight="1" x14ac:dyDescent="0.25">
      <c r="D623" s="23"/>
    </row>
    <row r="624" spans="4:4" ht="15.75" customHeight="1" x14ac:dyDescent="0.25">
      <c r="D624" s="23"/>
    </row>
    <row r="625" spans="4:4" ht="15.75" customHeight="1" x14ac:dyDescent="0.25">
      <c r="D625" s="23"/>
    </row>
    <row r="626" spans="4:4" ht="15.75" customHeight="1" x14ac:dyDescent="0.25">
      <c r="D626" s="23"/>
    </row>
    <row r="627" spans="4:4" ht="15.75" customHeight="1" x14ac:dyDescent="0.25">
      <c r="D627" s="23"/>
    </row>
    <row r="628" spans="4:4" ht="15.75" customHeight="1" x14ac:dyDescent="0.25">
      <c r="D628" s="23"/>
    </row>
    <row r="629" spans="4:4" ht="15.75" customHeight="1" x14ac:dyDescent="0.25">
      <c r="D629" s="23"/>
    </row>
    <row r="630" spans="4:4" ht="15.75" customHeight="1" x14ac:dyDescent="0.25">
      <c r="D630" s="23"/>
    </row>
    <row r="631" spans="4:4" ht="15.75" customHeight="1" x14ac:dyDescent="0.25">
      <c r="D631" s="23"/>
    </row>
    <row r="632" spans="4:4" ht="15.75" customHeight="1" x14ac:dyDescent="0.25">
      <c r="D632" s="23"/>
    </row>
    <row r="633" spans="4:4" ht="15.75" customHeight="1" x14ac:dyDescent="0.25">
      <c r="D633" s="23"/>
    </row>
    <row r="634" spans="4:4" ht="15.75" customHeight="1" x14ac:dyDescent="0.25">
      <c r="D634" s="23"/>
    </row>
    <row r="635" spans="4:4" ht="15.75" customHeight="1" x14ac:dyDescent="0.25">
      <c r="D635" s="23"/>
    </row>
    <row r="636" spans="4:4" ht="15.75" customHeight="1" x14ac:dyDescent="0.25">
      <c r="D636" s="23"/>
    </row>
    <row r="637" spans="4:4" ht="15.75" customHeight="1" x14ac:dyDescent="0.25">
      <c r="D637" s="23"/>
    </row>
    <row r="638" spans="4:4" ht="15.75" customHeight="1" x14ac:dyDescent="0.25">
      <c r="D638" s="23"/>
    </row>
    <row r="639" spans="4:4" ht="15.75" customHeight="1" x14ac:dyDescent="0.25">
      <c r="D639" s="23"/>
    </row>
    <row r="640" spans="4:4" ht="15.75" customHeight="1" x14ac:dyDescent="0.25">
      <c r="D640" s="23"/>
    </row>
    <row r="641" spans="4:4" ht="15.75" customHeight="1" x14ac:dyDescent="0.25">
      <c r="D641" s="23"/>
    </row>
    <row r="642" spans="4:4" ht="15.75" customHeight="1" x14ac:dyDescent="0.25">
      <c r="D642" s="23"/>
    </row>
    <row r="643" spans="4:4" ht="15.75" customHeight="1" x14ac:dyDescent="0.25">
      <c r="D643" s="23"/>
    </row>
    <row r="644" spans="4:4" ht="15.75" customHeight="1" x14ac:dyDescent="0.25">
      <c r="D644" s="23"/>
    </row>
    <row r="645" spans="4:4" ht="15.75" customHeight="1" x14ac:dyDescent="0.25">
      <c r="D645" s="23"/>
    </row>
    <row r="646" spans="4:4" ht="15.75" customHeight="1" x14ac:dyDescent="0.25">
      <c r="D646" s="23"/>
    </row>
    <row r="647" spans="4:4" ht="15.75" customHeight="1" x14ac:dyDescent="0.25">
      <c r="D647" s="23"/>
    </row>
    <row r="648" spans="4:4" ht="15.75" customHeight="1" x14ac:dyDescent="0.25">
      <c r="D648" s="23"/>
    </row>
    <row r="649" spans="4:4" ht="15.75" customHeight="1" x14ac:dyDescent="0.25">
      <c r="D649" s="23"/>
    </row>
    <row r="650" spans="4:4" ht="15.75" customHeight="1" x14ac:dyDescent="0.25">
      <c r="D650" s="23"/>
    </row>
    <row r="651" spans="4:4" ht="15.75" customHeight="1" x14ac:dyDescent="0.25">
      <c r="D651" s="23"/>
    </row>
    <row r="652" spans="4:4" ht="15.75" customHeight="1" x14ac:dyDescent="0.25">
      <c r="D652" s="23"/>
    </row>
    <row r="653" spans="4:4" ht="15.75" customHeight="1" x14ac:dyDescent="0.25">
      <c r="D653" s="23"/>
    </row>
    <row r="654" spans="4:4" ht="15.75" customHeight="1" x14ac:dyDescent="0.25">
      <c r="D654" s="23"/>
    </row>
    <row r="655" spans="4:4" ht="15.75" customHeight="1" x14ac:dyDescent="0.25">
      <c r="D655" s="23"/>
    </row>
    <row r="656" spans="4:4" ht="15.75" customHeight="1" x14ac:dyDescent="0.25">
      <c r="D656" s="23"/>
    </row>
    <row r="657" spans="4:4" ht="15.75" customHeight="1" x14ac:dyDescent="0.25">
      <c r="D657" s="23"/>
    </row>
    <row r="658" spans="4:4" ht="15.75" customHeight="1" x14ac:dyDescent="0.25">
      <c r="D658" s="23"/>
    </row>
    <row r="659" spans="4:4" ht="15.75" customHeight="1" x14ac:dyDescent="0.25">
      <c r="D659" s="23"/>
    </row>
    <row r="660" spans="4:4" ht="15.75" customHeight="1" x14ac:dyDescent="0.25">
      <c r="D660" s="23"/>
    </row>
    <row r="661" spans="4:4" ht="15.75" customHeight="1" x14ac:dyDescent="0.25">
      <c r="D661" s="23"/>
    </row>
    <row r="662" spans="4:4" ht="15.75" customHeight="1" x14ac:dyDescent="0.25">
      <c r="D662" s="23"/>
    </row>
    <row r="663" spans="4:4" ht="15.75" customHeight="1" x14ac:dyDescent="0.25">
      <c r="D663" s="23"/>
    </row>
    <row r="664" spans="4:4" ht="15.75" customHeight="1" x14ac:dyDescent="0.25">
      <c r="D664" s="23"/>
    </row>
    <row r="665" spans="4:4" ht="15.75" customHeight="1" x14ac:dyDescent="0.25">
      <c r="D665" s="23"/>
    </row>
    <row r="666" spans="4:4" ht="15.75" customHeight="1" x14ac:dyDescent="0.25">
      <c r="D666" s="23"/>
    </row>
    <row r="667" spans="4:4" ht="15.75" customHeight="1" x14ac:dyDescent="0.25">
      <c r="D667" s="23"/>
    </row>
    <row r="668" spans="4:4" ht="15.75" customHeight="1" x14ac:dyDescent="0.25">
      <c r="D668" s="23"/>
    </row>
    <row r="669" spans="4:4" ht="15.75" customHeight="1" x14ac:dyDescent="0.25">
      <c r="D669" s="23"/>
    </row>
    <row r="670" spans="4:4" ht="15.75" customHeight="1" x14ac:dyDescent="0.25">
      <c r="D670" s="23"/>
    </row>
    <row r="671" spans="4:4" ht="15.75" customHeight="1" x14ac:dyDescent="0.25">
      <c r="D671" s="23"/>
    </row>
    <row r="672" spans="4:4" ht="15.75" customHeight="1" x14ac:dyDescent="0.25">
      <c r="D672" s="23"/>
    </row>
    <row r="673" spans="4:4" ht="15.75" customHeight="1" x14ac:dyDescent="0.25">
      <c r="D673" s="23"/>
    </row>
    <row r="674" spans="4:4" ht="15.75" customHeight="1" x14ac:dyDescent="0.25">
      <c r="D674" s="23"/>
    </row>
    <row r="675" spans="4:4" ht="15.75" customHeight="1" x14ac:dyDescent="0.25">
      <c r="D675" s="23"/>
    </row>
    <row r="676" spans="4:4" ht="15.75" customHeight="1" x14ac:dyDescent="0.25">
      <c r="D676" s="23"/>
    </row>
    <row r="677" spans="4:4" ht="15.75" customHeight="1" x14ac:dyDescent="0.25">
      <c r="D677" s="23"/>
    </row>
    <row r="678" spans="4:4" ht="15.75" customHeight="1" x14ac:dyDescent="0.25">
      <c r="D678" s="23"/>
    </row>
    <row r="679" spans="4:4" ht="15.75" customHeight="1" x14ac:dyDescent="0.25">
      <c r="D679" s="23"/>
    </row>
    <row r="680" spans="4:4" ht="15.75" customHeight="1" x14ac:dyDescent="0.25">
      <c r="D680" s="23"/>
    </row>
    <row r="681" spans="4:4" ht="15.75" customHeight="1" x14ac:dyDescent="0.25">
      <c r="D681" s="23"/>
    </row>
    <row r="682" spans="4:4" ht="15.75" customHeight="1" x14ac:dyDescent="0.25">
      <c r="D682" s="23"/>
    </row>
    <row r="683" spans="4:4" ht="15.75" customHeight="1" x14ac:dyDescent="0.25">
      <c r="D683" s="23"/>
    </row>
    <row r="684" spans="4:4" ht="15.75" customHeight="1" x14ac:dyDescent="0.25">
      <c r="D684" s="23"/>
    </row>
    <row r="685" spans="4:4" ht="15.75" customHeight="1" x14ac:dyDescent="0.25">
      <c r="D685" s="23"/>
    </row>
    <row r="686" spans="4:4" ht="15.75" customHeight="1" x14ac:dyDescent="0.25">
      <c r="D686" s="23"/>
    </row>
    <row r="687" spans="4:4" ht="15.75" customHeight="1" x14ac:dyDescent="0.25">
      <c r="D687" s="23"/>
    </row>
    <row r="688" spans="4:4" ht="15.75" customHeight="1" x14ac:dyDescent="0.25">
      <c r="D688" s="23"/>
    </row>
    <row r="689" spans="4:4" ht="15.75" customHeight="1" x14ac:dyDescent="0.25">
      <c r="D689" s="23"/>
    </row>
    <row r="690" spans="4:4" ht="15.75" customHeight="1" x14ac:dyDescent="0.25">
      <c r="D690" s="23"/>
    </row>
    <row r="691" spans="4:4" ht="15.75" customHeight="1" x14ac:dyDescent="0.25">
      <c r="D691" s="23"/>
    </row>
    <row r="692" spans="4:4" ht="15.75" customHeight="1" x14ac:dyDescent="0.25">
      <c r="D692" s="23"/>
    </row>
    <row r="693" spans="4:4" ht="15.75" customHeight="1" x14ac:dyDescent="0.25">
      <c r="D693" s="23"/>
    </row>
    <row r="694" spans="4:4" ht="15.75" customHeight="1" x14ac:dyDescent="0.25">
      <c r="D694" s="23"/>
    </row>
    <row r="695" spans="4:4" ht="15.75" customHeight="1" x14ac:dyDescent="0.25">
      <c r="D695" s="23"/>
    </row>
    <row r="696" spans="4:4" ht="15.75" customHeight="1" x14ac:dyDescent="0.25">
      <c r="D696" s="23"/>
    </row>
    <row r="697" spans="4:4" ht="15.75" customHeight="1" x14ac:dyDescent="0.25">
      <c r="D697" s="23"/>
    </row>
    <row r="698" spans="4:4" ht="15.75" customHeight="1" x14ac:dyDescent="0.25">
      <c r="D698" s="23"/>
    </row>
    <row r="699" spans="4:4" ht="15.75" customHeight="1" x14ac:dyDescent="0.25">
      <c r="D699" s="23"/>
    </row>
    <row r="700" spans="4:4" ht="15.75" customHeight="1" x14ac:dyDescent="0.25">
      <c r="D700" s="23"/>
    </row>
    <row r="701" spans="4:4" ht="15.75" customHeight="1" x14ac:dyDescent="0.25">
      <c r="D701" s="23"/>
    </row>
    <row r="702" spans="4:4" ht="15.75" customHeight="1" x14ac:dyDescent="0.25">
      <c r="D702" s="23"/>
    </row>
    <row r="703" spans="4:4" ht="15.75" customHeight="1" x14ac:dyDescent="0.25">
      <c r="D703" s="23"/>
    </row>
    <row r="704" spans="4:4" ht="15.75" customHeight="1" x14ac:dyDescent="0.25">
      <c r="D704" s="23"/>
    </row>
    <row r="705" spans="4:4" ht="15.75" customHeight="1" x14ac:dyDescent="0.25">
      <c r="D705" s="23"/>
    </row>
    <row r="706" spans="4:4" ht="15.75" customHeight="1" x14ac:dyDescent="0.25">
      <c r="D706" s="23"/>
    </row>
    <row r="707" spans="4:4" ht="15.75" customHeight="1" x14ac:dyDescent="0.25">
      <c r="D707" s="23"/>
    </row>
    <row r="708" spans="4:4" ht="15.75" customHeight="1" x14ac:dyDescent="0.25">
      <c r="D708" s="23"/>
    </row>
    <row r="709" spans="4:4" ht="15.75" customHeight="1" x14ac:dyDescent="0.25">
      <c r="D709" s="23"/>
    </row>
    <row r="710" spans="4:4" ht="15.75" customHeight="1" x14ac:dyDescent="0.25">
      <c r="D710" s="23"/>
    </row>
    <row r="711" spans="4:4" ht="15.75" customHeight="1" x14ac:dyDescent="0.25">
      <c r="D711" s="23"/>
    </row>
    <row r="712" spans="4:4" ht="15.75" customHeight="1" x14ac:dyDescent="0.25">
      <c r="D712" s="23"/>
    </row>
    <row r="713" spans="4:4" ht="15.75" customHeight="1" x14ac:dyDescent="0.25">
      <c r="D713" s="23"/>
    </row>
    <row r="714" spans="4:4" ht="15.75" customHeight="1" x14ac:dyDescent="0.25">
      <c r="D714" s="23"/>
    </row>
    <row r="715" spans="4:4" ht="15.75" customHeight="1" x14ac:dyDescent="0.25">
      <c r="D715" s="23"/>
    </row>
    <row r="716" spans="4:4" ht="15.75" customHeight="1" x14ac:dyDescent="0.25">
      <c r="D716" s="23"/>
    </row>
    <row r="717" spans="4:4" ht="15.75" customHeight="1" x14ac:dyDescent="0.25">
      <c r="D717" s="23"/>
    </row>
    <row r="718" spans="4:4" ht="15.75" customHeight="1" x14ac:dyDescent="0.25">
      <c r="D718" s="23"/>
    </row>
    <row r="719" spans="4:4" ht="15.75" customHeight="1" x14ac:dyDescent="0.25">
      <c r="D719" s="23"/>
    </row>
    <row r="720" spans="4:4" ht="15.75" customHeight="1" x14ac:dyDescent="0.25">
      <c r="D720" s="23"/>
    </row>
    <row r="721" spans="4:4" ht="15.75" customHeight="1" x14ac:dyDescent="0.25">
      <c r="D721" s="23"/>
    </row>
    <row r="722" spans="4:4" ht="15.75" customHeight="1" x14ac:dyDescent="0.25">
      <c r="D722" s="23"/>
    </row>
    <row r="723" spans="4:4" ht="15.75" customHeight="1" x14ac:dyDescent="0.25">
      <c r="D723" s="23"/>
    </row>
    <row r="724" spans="4:4" ht="15.75" customHeight="1" x14ac:dyDescent="0.25">
      <c r="D724" s="23"/>
    </row>
    <row r="725" spans="4:4" ht="15.75" customHeight="1" x14ac:dyDescent="0.25">
      <c r="D725" s="23"/>
    </row>
    <row r="726" spans="4:4" ht="15.75" customHeight="1" x14ac:dyDescent="0.25">
      <c r="D726" s="23"/>
    </row>
    <row r="727" spans="4:4" ht="15.75" customHeight="1" x14ac:dyDescent="0.25">
      <c r="D727" s="23"/>
    </row>
    <row r="728" spans="4:4" ht="15.75" customHeight="1" x14ac:dyDescent="0.25">
      <c r="D728" s="23"/>
    </row>
    <row r="729" spans="4:4" ht="15.75" customHeight="1" x14ac:dyDescent="0.25">
      <c r="D729" s="23"/>
    </row>
    <row r="730" spans="4:4" ht="15.75" customHeight="1" x14ac:dyDescent="0.25">
      <c r="D730" s="23"/>
    </row>
    <row r="731" spans="4:4" ht="15.75" customHeight="1" x14ac:dyDescent="0.25">
      <c r="D731" s="23"/>
    </row>
    <row r="732" spans="4:4" ht="15.75" customHeight="1" x14ac:dyDescent="0.25">
      <c r="D732" s="23"/>
    </row>
    <row r="733" spans="4:4" ht="15.75" customHeight="1" x14ac:dyDescent="0.25">
      <c r="D733" s="23"/>
    </row>
    <row r="734" spans="4:4" ht="15.75" customHeight="1" x14ac:dyDescent="0.25">
      <c r="D734" s="23"/>
    </row>
    <row r="735" spans="4:4" ht="15.75" customHeight="1" x14ac:dyDescent="0.25">
      <c r="D735" s="23"/>
    </row>
    <row r="736" spans="4:4" ht="15.75" customHeight="1" x14ac:dyDescent="0.25">
      <c r="D736" s="23"/>
    </row>
    <row r="737" spans="4:4" ht="15.75" customHeight="1" x14ac:dyDescent="0.25">
      <c r="D737" s="23"/>
    </row>
    <row r="738" spans="4:4" ht="15.75" customHeight="1" x14ac:dyDescent="0.25">
      <c r="D738" s="23"/>
    </row>
    <row r="739" spans="4:4" ht="15.75" customHeight="1" x14ac:dyDescent="0.25">
      <c r="D739" s="23"/>
    </row>
    <row r="740" spans="4:4" ht="15.75" customHeight="1" x14ac:dyDescent="0.25">
      <c r="D740" s="23"/>
    </row>
    <row r="741" spans="4:4" ht="15.75" customHeight="1" x14ac:dyDescent="0.25">
      <c r="D741" s="23"/>
    </row>
    <row r="742" spans="4:4" ht="15.75" customHeight="1" x14ac:dyDescent="0.25">
      <c r="D742" s="23"/>
    </row>
    <row r="743" spans="4:4" ht="15.75" customHeight="1" x14ac:dyDescent="0.25">
      <c r="D743" s="23"/>
    </row>
    <row r="744" spans="4:4" ht="15.75" customHeight="1" x14ac:dyDescent="0.25">
      <c r="D744" s="23"/>
    </row>
    <row r="745" spans="4:4" ht="15.75" customHeight="1" x14ac:dyDescent="0.25">
      <c r="D745" s="23"/>
    </row>
    <row r="746" spans="4:4" ht="15.75" customHeight="1" x14ac:dyDescent="0.25">
      <c r="D746" s="23"/>
    </row>
    <row r="747" spans="4:4" ht="15.75" customHeight="1" x14ac:dyDescent="0.25">
      <c r="D747" s="23"/>
    </row>
    <row r="748" spans="4:4" ht="15.75" customHeight="1" x14ac:dyDescent="0.25">
      <c r="D748" s="23"/>
    </row>
    <row r="749" spans="4:4" ht="15.75" customHeight="1" x14ac:dyDescent="0.25">
      <c r="D749" s="23"/>
    </row>
    <row r="750" spans="4:4" ht="15.75" customHeight="1" x14ac:dyDescent="0.25">
      <c r="D750" s="23"/>
    </row>
    <row r="751" spans="4:4" ht="15.75" customHeight="1" x14ac:dyDescent="0.25">
      <c r="D751" s="23"/>
    </row>
    <row r="752" spans="4:4" ht="15.75" customHeight="1" x14ac:dyDescent="0.25">
      <c r="D752" s="23"/>
    </row>
    <row r="753" spans="4:4" ht="15.75" customHeight="1" x14ac:dyDescent="0.25">
      <c r="D753" s="23"/>
    </row>
    <row r="754" spans="4:4" ht="15.75" customHeight="1" x14ac:dyDescent="0.25">
      <c r="D754" s="23"/>
    </row>
    <row r="755" spans="4:4" ht="15.75" customHeight="1" x14ac:dyDescent="0.25">
      <c r="D755" s="23"/>
    </row>
    <row r="756" spans="4:4" ht="15.75" customHeight="1" x14ac:dyDescent="0.25">
      <c r="D756" s="23"/>
    </row>
    <row r="757" spans="4:4" ht="15.75" customHeight="1" x14ac:dyDescent="0.25">
      <c r="D757" s="23"/>
    </row>
    <row r="758" spans="4:4" ht="15.75" customHeight="1" x14ac:dyDescent="0.25">
      <c r="D758" s="23"/>
    </row>
    <row r="759" spans="4:4" ht="15.75" customHeight="1" x14ac:dyDescent="0.25">
      <c r="D759" s="23"/>
    </row>
    <row r="760" spans="4:4" ht="15.75" customHeight="1" x14ac:dyDescent="0.25">
      <c r="D760" s="23"/>
    </row>
    <row r="761" spans="4:4" ht="15.75" customHeight="1" x14ac:dyDescent="0.25">
      <c r="D761" s="23"/>
    </row>
    <row r="762" spans="4:4" ht="15.75" customHeight="1" x14ac:dyDescent="0.25">
      <c r="D762" s="23"/>
    </row>
    <row r="763" spans="4:4" ht="15.75" customHeight="1" x14ac:dyDescent="0.25">
      <c r="D763" s="23"/>
    </row>
    <row r="764" spans="4:4" ht="15.75" customHeight="1" x14ac:dyDescent="0.25">
      <c r="D764" s="23"/>
    </row>
    <row r="765" spans="4:4" ht="15.75" customHeight="1" x14ac:dyDescent="0.25">
      <c r="D765" s="23"/>
    </row>
    <row r="766" spans="4:4" ht="15.75" customHeight="1" x14ac:dyDescent="0.25">
      <c r="D766" s="23"/>
    </row>
    <row r="767" spans="4:4" ht="15.75" customHeight="1" x14ac:dyDescent="0.25">
      <c r="D767" s="23"/>
    </row>
    <row r="768" spans="4:4" ht="15.75" customHeight="1" x14ac:dyDescent="0.25">
      <c r="D768" s="23"/>
    </row>
    <row r="769" spans="4:4" ht="15.75" customHeight="1" x14ac:dyDescent="0.25">
      <c r="D769" s="23"/>
    </row>
    <row r="770" spans="4:4" ht="15.75" customHeight="1" x14ac:dyDescent="0.25">
      <c r="D770" s="23"/>
    </row>
    <row r="771" spans="4:4" ht="15.75" customHeight="1" x14ac:dyDescent="0.25">
      <c r="D771" s="23"/>
    </row>
    <row r="772" spans="4:4" ht="15.75" customHeight="1" x14ac:dyDescent="0.25">
      <c r="D772" s="23"/>
    </row>
    <row r="773" spans="4:4" ht="15.75" customHeight="1" x14ac:dyDescent="0.25">
      <c r="D773" s="23"/>
    </row>
    <row r="774" spans="4:4" ht="15.75" customHeight="1" x14ac:dyDescent="0.25">
      <c r="D774" s="23"/>
    </row>
    <row r="775" spans="4:4" ht="15.75" customHeight="1" x14ac:dyDescent="0.25">
      <c r="D775" s="23"/>
    </row>
    <row r="776" spans="4:4" ht="15.75" customHeight="1" x14ac:dyDescent="0.25">
      <c r="D776" s="23"/>
    </row>
    <row r="777" spans="4:4" ht="15.75" customHeight="1" x14ac:dyDescent="0.25">
      <c r="D777" s="23"/>
    </row>
    <row r="778" spans="4:4" ht="15.75" customHeight="1" x14ac:dyDescent="0.25">
      <c r="D778" s="23"/>
    </row>
    <row r="779" spans="4:4" ht="15.75" customHeight="1" x14ac:dyDescent="0.25">
      <c r="D779" s="23"/>
    </row>
    <row r="780" spans="4:4" ht="15.75" customHeight="1" x14ac:dyDescent="0.25">
      <c r="D780" s="23"/>
    </row>
    <row r="781" spans="4:4" ht="15.75" customHeight="1" x14ac:dyDescent="0.25">
      <c r="D781" s="23"/>
    </row>
    <row r="782" spans="4:4" ht="15.75" customHeight="1" x14ac:dyDescent="0.25">
      <c r="D782" s="23"/>
    </row>
    <row r="783" spans="4:4" ht="15.75" customHeight="1" x14ac:dyDescent="0.25">
      <c r="D783" s="23"/>
    </row>
    <row r="784" spans="4:4" ht="15.75" customHeight="1" x14ac:dyDescent="0.25">
      <c r="D784" s="23"/>
    </row>
    <row r="785" spans="4:4" ht="15.75" customHeight="1" x14ac:dyDescent="0.25">
      <c r="D785" s="23"/>
    </row>
    <row r="786" spans="4:4" ht="15.75" customHeight="1" x14ac:dyDescent="0.25">
      <c r="D786" s="23"/>
    </row>
    <row r="787" spans="4:4" ht="15.75" customHeight="1" x14ac:dyDescent="0.25">
      <c r="D787" s="23"/>
    </row>
    <row r="788" spans="4:4" ht="15.75" customHeight="1" x14ac:dyDescent="0.25">
      <c r="D788" s="23"/>
    </row>
    <row r="789" spans="4:4" ht="15.75" customHeight="1" x14ac:dyDescent="0.25">
      <c r="D789" s="23"/>
    </row>
    <row r="790" spans="4:4" ht="15.75" customHeight="1" x14ac:dyDescent="0.25">
      <c r="D790" s="23"/>
    </row>
    <row r="791" spans="4:4" ht="15.75" customHeight="1" x14ac:dyDescent="0.25">
      <c r="D791" s="23"/>
    </row>
    <row r="792" spans="4:4" ht="15.75" customHeight="1" x14ac:dyDescent="0.25">
      <c r="D792" s="23"/>
    </row>
    <row r="793" spans="4:4" ht="15.75" customHeight="1" x14ac:dyDescent="0.25">
      <c r="D793" s="23"/>
    </row>
    <row r="794" spans="4:4" ht="15.75" customHeight="1" x14ac:dyDescent="0.25">
      <c r="D794" s="23"/>
    </row>
    <row r="795" spans="4:4" ht="15.75" customHeight="1" x14ac:dyDescent="0.25">
      <c r="D795" s="23"/>
    </row>
    <row r="796" spans="4:4" ht="15.75" customHeight="1" x14ac:dyDescent="0.25">
      <c r="D796" s="23"/>
    </row>
    <row r="797" spans="4:4" ht="15.75" customHeight="1" x14ac:dyDescent="0.25">
      <c r="D797" s="23"/>
    </row>
    <row r="798" spans="4:4" ht="15.75" customHeight="1" x14ac:dyDescent="0.25">
      <c r="D798" s="23"/>
    </row>
    <row r="799" spans="4:4" ht="15.75" customHeight="1" x14ac:dyDescent="0.25">
      <c r="D799" s="23"/>
    </row>
    <row r="800" spans="4:4" ht="15.75" customHeight="1" x14ac:dyDescent="0.25">
      <c r="D800" s="23"/>
    </row>
    <row r="801" spans="4:4" ht="15.75" customHeight="1" x14ac:dyDescent="0.25">
      <c r="D801" s="23"/>
    </row>
    <row r="802" spans="4:4" ht="15.75" customHeight="1" x14ac:dyDescent="0.25">
      <c r="D802" s="23"/>
    </row>
    <row r="803" spans="4:4" ht="15.75" customHeight="1" x14ac:dyDescent="0.25">
      <c r="D803" s="23"/>
    </row>
    <row r="804" spans="4:4" ht="15.75" customHeight="1" x14ac:dyDescent="0.25">
      <c r="D804" s="23"/>
    </row>
    <row r="805" spans="4:4" ht="15.75" customHeight="1" x14ac:dyDescent="0.25">
      <c r="D805" s="23"/>
    </row>
    <row r="806" spans="4:4" ht="15.75" customHeight="1" x14ac:dyDescent="0.25">
      <c r="D806" s="23"/>
    </row>
    <row r="807" spans="4:4" ht="15.75" customHeight="1" x14ac:dyDescent="0.25">
      <c r="D807" s="23"/>
    </row>
    <row r="808" spans="4:4" ht="15.75" customHeight="1" x14ac:dyDescent="0.25">
      <c r="D808" s="23"/>
    </row>
    <row r="809" spans="4:4" ht="15.75" customHeight="1" x14ac:dyDescent="0.25">
      <c r="D809" s="23"/>
    </row>
    <row r="810" spans="4:4" ht="15.75" customHeight="1" x14ac:dyDescent="0.25">
      <c r="D810" s="23"/>
    </row>
    <row r="811" spans="4:4" ht="15.75" customHeight="1" x14ac:dyDescent="0.25">
      <c r="D811" s="23"/>
    </row>
    <row r="812" spans="4:4" ht="15.75" customHeight="1" x14ac:dyDescent="0.25">
      <c r="D812" s="23"/>
    </row>
    <row r="813" spans="4:4" ht="15.75" customHeight="1" x14ac:dyDescent="0.25">
      <c r="D813" s="23"/>
    </row>
    <row r="814" spans="4:4" ht="15.75" customHeight="1" x14ac:dyDescent="0.25">
      <c r="D814" s="23"/>
    </row>
    <row r="815" spans="4:4" ht="15.75" customHeight="1" x14ac:dyDescent="0.25">
      <c r="D815" s="23"/>
    </row>
    <row r="816" spans="4:4" ht="15.75" customHeight="1" x14ac:dyDescent="0.25">
      <c r="D816" s="23"/>
    </row>
    <row r="817" spans="4:4" ht="15.75" customHeight="1" x14ac:dyDescent="0.25">
      <c r="D817" s="23"/>
    </row>
    <row r="818" spans="4:4" ht="15.75" customHeight="1" x14ac:dyDescent="0.25">
      <c r="D818" s="23"/>
    </row>
    <row r="819" spans="4:4" ht="15.75" customHeight="1" x14ac:dyDescent="0.25">
      <c r="D819" s="23"/>
    </row>
    <row r="820" spans="4:4" ht="15.75" customHeight="1" x14ac:dyDescent="0.25">
      <c r="D820" s="23"/>
    </row>
    <row r="821" spans="4:4" ht="15.75" customHeight="1" x14ac:dyDescent="0.25">
      <c r="D821" s="23"/>
    </row>
    <row r="822" spans="4:4" ht="15.75" customHeight="1" x14ac:dyDescent="0.25">
      <c r="D822" s="23"/>
    </row>
    <row r="823" spans="4:4" ht="15.75" customHeight="1" x14ac:dyDescent="0.25">
      <c r="D823" s="23"/>
    </row>
    <row r="824" spans="4:4" ht="15.75" customHeight="1" x14ac:dyDescent="0.25">
      <c r="D824" s="23"/>
    </row>
    <row r="825" spans="4:4" ht="15.75" customHeight="1" x14ac:dyDescent="0.25">
      <c r="D825" s="23"/>
    </row>
    <row r="826" spans="4:4" ht="15.75" customHeight="1" x14ac:dyDescent="0.25">
      <c r="D826" s="23"/>
    </row>
    <row r="827" spans="4:4" ht="15.75" customHeight="1" x14ac:dyDescent="0.25">
      <c r="D827" s="23"/>
    </row>
    <row r="828" spans="4:4" ht="15.75" customHeight="1" x14ac:dyDescent="0.25">
      <c r="D828" s="23"/>
    </row>
    <row r="829" spans="4:4" ht="15.75" customHeight="1" x14ac:dyDescent="0.25">
      <c r="D829" s="23"/>
    </row>
    <row r="830" spans="4:4" ht="15.75" customHeight="1" x14ac:dyDescent="0.25">
      <c r="D830" s="23"/>
    </row>
    <row r="831" spans="4:4" ht="15.75" customHeight="1" x14ac:dyDescent="0.25">
      <c r="D831" s="23"/>
    </row>
    <row r="832" spans="4:4" ht="15.75" customHeight="1" x14ac:dyDescent="0.25">
      <c r="D832" s="23"/>
    </row>
    <row r="833" spans="4:4" ht="15.75" customHeight="1" x14ac:dyDescent="0.25">
      <c r="D833" s="23"/>
    </row>
    <row r="834" spans="4:4" ht="15.75" customHeight="1" x14ac:dyDescent="0.25">
      <c r="D834" s="23"/>
    </row>
    <row r="835" spans="4:4" ht="15.75" customHeight="1" x14ac:dyDescent="0.25">
      <c r="D835" s="23"/>
    </row>
    <row r="836" spans="4:4" ht="15.75" customHeight="1" x14ac:dyDescent="0.25">
      <c r="D836" s="23"/>
    </row>
    <row r="837" spans="4:4" ht="15.75" customHeight="1" x14ac:dyDescent="0.25">
      <c r="D837" s="23"/>
    </row>
    <row r="838" spans="4:4" ht="15.75" customHeight="1" x14ac:dyDescent="0.25">
      <c r="D838" s="23"/>
    </row>
    <row r="839" spans="4:4" ht="15.75" customHeight="1" x14ac:dyDescent="0.25">
      <c r="D839" s="23"/>
    </row>
    <row r="840" spans="4:4" ht="15.75" customHeight="1" x14ac:dyDescent="0.25">
      <c r="D840" s="23"/>
    </row>
    <row r="841" spans="4:4" ht="15.75" customHeight="1" x14ac:dyDescent="0.25">
      <c r="D841" s="23"/>
    </row>
    <row r="842" spans="4:4" ht="15.75" customHeight="1" x14ac:dyDescent="0.25">
      <c r="D842" s="23"/>
    </row>
    <row r="843" spans="4:4" ht="15.75" customHeight="1" x14ac:dyDescent="0.25">
      <c r="D843" s="23"/>
    </row>
    <row r="844" spans="4:4" ht="15.75" customHeight="1" x14ac:dyDescent="0.25">
      <c r="D844" s="23"/>
    </row>
    <row r="845" spans="4:4" ht="15.75" customHeight="1" x14ac:dyDescent="0.25">
      <c r="D845" s="23"/>
    </row>
    <row r="846" spans="4:4" ht="15.75" customHeight="1" x14ac:dyDescent="0.25">
      <c r="D846" s="23"/>
    </row>
    <row r="847" spans="4:4" ht="15.75" customHeight="1" x14ac:dyDescent="0.25">
      <c r="D847" s="23"/>
    </row>
    <row r="848" spans="4:4" ht="15.75" customHeight="1" x14ac:dyDescent="0.25">
      <c r="D848" s="23"/>
    </row>
    <row r="849" spans="4:4" ht="15.75" customHeight="1" x14ac:dyDescent="0.25">
      <c r="D849" s="23"/>
    </row>
    <row r="850" spans="4:4" ht="15.75" customHeight="1" x14ac:dyDescent="0.25">
      <c r="D850" s="23"/>
    </row>
    <row r="851" spans="4:4" ht="15.75" customHeight="1" x14ac:dyDescent="0.25">
      <c r="D851" s="23"/>
    </row>
    <row r="852" spans="4:4" ht="15.75" customHeight="1" x14ac:dyDescent="0.25">
      <c r="D852" s="23"/>
    </row>
    <row r="853" spans="4:4" ht="15.75" customHeight="1" x14ac:dyDescent="0.25">
      <c r="D853" s="23"/>
    </row>
    <row r="854" spans="4:4" ht="15.75" customHeight="1" x14ac:dyDescent="0.25">
      <c r="D854" s="23"/>
    </row>
    <row r="855" spans="4:4" ht="15.75" customHeight="1" x14ac:dyDescent="0.25">
      <c r="D855" s="23"/>
    </row>
    <row r="856" spans="4:4" ht="15.75" customHeight="1" x14ac:dyDescent="0.25">
      <c r="D856" s="23"/>
    </row>
    <row r="857" spans="4:4" ht="15.75" customHeight="1" x14ac:dyDescent="0.25">
      <c r="D857" s="23"/>
    </row>
    <row r="858" spans="4:4" ht="15.75" customHeight="1" x14ac:dyDescent="0.25">
      <c r="D858" s="23"/>
    </row>
    <row r="859" spans="4:4" ht="15.75" customHeight="1" x14ac:dyDescent="0.25">
      <c r="D859" s="23"/>
    </row>
    <row r="860" spans="4:4" ht="15.75" customHeight="1" x14ac:dyDescent="0.25">
      <c r="D860" s="23"/>
    </row>
    <row r="861" spans="4:4" ht="15.75" customHeight="1" x14ac:dyDescent="0.25">
      <c r="D861" s="23"/>
    </row>
    <row r="862" spans="4:4" ht="15.75" customHeight="1" x14ac:dyDescent="0.25">
      <c r="D862" s="23"/>
    </row>
    <row r="863" spans="4:4" ht="15.75" customHeight="1" x14ac:dyDescent="0.25">
      <c r="D863" s="23"/>
    </row>
    <row r="864" spans="4:4" ht="15.75" customHeight="1" x14ac:dyDescent="0.25">
      <c r="D864" s="23"/>
    </row>
    <row r="865" spans="4:4" ht="15.75" customHeight="1" x14ac:dyDescent="0.25">
      <c r="D865" s="23"/>
    </row>
    <row r="866" spans="4:4" ht="15.75" customHeight="1" x14ac:dyDescent="0.25">
      <c r="D866" s="23"/>
    </row>
    <row r="867" spans="4:4" ht="15.75" customHeight="1" x14ac:dyDescent="0.25">
      <c r="D867" s="23"/>
    </row>
    <row r="868" spans="4:4" ht="15.75" customHeight="1" x14ac:dyDescent="0.25">
      <c r="D868" s="23"/>
    </row>
    <row r="869" spans="4:4" ht="15.75" customHeight="1" x14ac:dyDescent="0.25">
      <c r="D869" s="23"/>
    </row>
    <row r="870" spans="4:4" ht="15.75" customHeight="1" x14ac:dyDescent="0.25">
      <c r="D870" s="23"/>
    </row>
    <row r="871" spans="4:4" ht="15.75" customHeight="1" x14ac:dyDescent="0.25">
      <c r="D871" s="23"/>
    </row>
    <row r="872" spans="4:4" ht="15.75" customHeight="1" x14ac:dyDescent="0.25">
      <c r="D872" s="23"/>
    </row>
    <row r="873" spans="4:4" ht="15.75" customHeight="1" x14ac:dyDescent="0.25">
      <c r="D873" s="23"/>
    </row>
    <row r="874" spans="4:4" ht="15.75" customHeight="1" x14ac:dyDescent="0.25">
      <c r="D874" s="23"/>
    </row>
    <row r="875" spans="4:4" ht="15.75" customHeight="1" x14ac:dyDescent="0.25">
      <c r="D875" s="23"/>
    </row>
    <row r="876" spans="4:4" ht="15.75" customHeight="1" x14ac:dyDescent="0.25">
      <c r="D876" s="23"/>
    </row>
    <row r="877" spans="4:4" ht="15.75" customHeight="1" x14ac:dyDescent="0.25">
      <c r="D877" s="23"/>
    </row>
    <row r="878" spans="4:4" ht="15.75" customHeight="1" x14ac:dyDescent="0.25">
      <c r="D878" s="23"/>
    </row>
    <row r="879" spans="4:4" ht="15.75" customHeight="1" x14ac:dyDescent="0.25">
      <c r="D879" s="23"/>
    </row>
    <row r="880" spans="4:4" ht="15.75" customHeight="1" x14ac:dyDescent="0.25">
      <c r="D880" s="23"/>
    </row>
    <row r="881" spans="4:4" ht="15.75" customHeight="1" x14ac:dyDescent="0.25">
      <c r="D881" s="23"/>
    </row>
    <row r="882" spans="4:4" ht="15.75" customHeight="1" x14ac:dyDescent="0.25">
      <c r="D882" s="23"/>
    </row>
    <row r="883" spans="4:4" ht="15.75" customHeight="1" x14ac:dyDescent="0.25">
      <c r="D883" s="23"/>
    </row>
    <row r="884" spans="4:4" ht="15.75" customHeight="1" x14ac:dyDescent="0.25">
      <c r="D884" s="23"/>
    </row>
    <row r="885" spans="4:4" ht="15.75" customHeight="1" x14ac:dyDescent="0.25">
      <c r="D885" s="23"/>
    </row>
    <row r="886" spans="4:4" ht="15.75" customHeight="1" x14ac:dyDescent="0.25">
      <c r="D886" s="23"/>
    </row>
    <row r="887" spans="4:4" ht="15.75" customHeight="1" x14ac:dyDescent="0.25">
      <c r="D887" s="23"/>
    </row>
    <row r="888" spans="4:4" ht="15.75" customHeight="1" x14ac:dyDescent="0.25">
      <c r="D888" s="23"/>
    </row>
    <row r="889" spans="4:4" ht="15.75" customHeight="1" x14ac:dyDescent="0.25">
      <c r="D889" s="23"/>
    </row>
    <row r="890" spans="4:4" ht="15.75" customHeight="1" x14ac:dyDescent="0.25">
      <c r="D890" s="23"/>
    </row>
    <row r="891" spans="4:4" ht="15.75" customHeight="1" x14ac:dyDescent="0.25">
      <c r="D891" s="23"/>
    </row>
    <row r="892" spans="4:4" ht="15.75" customHeight="1" x14ac:dyDescent="0.25">
      <c r="D892" s="23"/>
    </row>
    <row r="893" spans="4:4" ht="15.75" customHeight="1" x14ac:dyDescent="0.25">
      <c r="D893" s="23"/>
    </row>
    <row r="894" spans="4:4" ht="15.75" customHeight="1" x14ac:dyDescent="0.25">
      <c r="D894" s="23"/>
    </row>
    <row r="895" spans="4:4" ht="15.75" customHeight="1" x14ac:dyDescent="0.25">
      <c r="D895" s="23"/>
    </row>
    <row r="896" spans="4:4" ht="15.75" customHeight="1" x14ac:dyDescent="0.25">
      <c r="D896" s="23"/>
    </row>
    <row r="897" spans="4:4" ht="15.75" customHeight="1" x14ac:dyDescent="0.25">
      <c r="D897" s="23"/>
    </row>
    <row r="898" spans="4:4" ht="15.75" customHeight="1" x14ac:dyDescent="0.25">
      <c r="D898" s="23"/>
    </row>
    <row r="899" spans="4:4" ht="15.75" customHeight="1" x14ac:dyDescent="0.25">
      <c r="D899" s="23"/>
    </row>
    <row r="900" spans="4:4" ht="15.75" customHeight="1" x14ac:dyDescent="0.25">
      <c r="D900" s="23"/>
    </row>
    <row r="901" spans="4:4" ht="15.75" customHeight="1" x14ac:dyDescent="0.25">
      <c r="D901" s="23"/>
    </row>
    <row r="902" spans="4:4" ht="15.75" customHeight="1" x14ac:dyDescent="0.25">
      <c r="D902" s="23"/>
    </row>
    <row r="903" spans="4:4" ht="15.75" customHeight="1" x14ac:dyDescent="0.25">
      <c r="D903" s="23"/>
    </row>
    <row r="904" spans="4:4" ht="15.75" customHeight="1" x14ac:dyDescent="0.25">
      <c r="D904" s="23"/>
    </row>
    <row r="905" spans="4:4" ht="15.75" customHeight="1" x14ac:dyDescent="0.25">
      <c r="D905" s="23"/>
    </row>
    <row r="906" spans="4:4" ht="15.75" customHeight="1" x14ac:dyDescent="0.25">
      <c r="D906" s="23"/>
    </row>
    <row r="907" spans="4:4" ht="15.75" customHeight="1" x14ac:dyDescent="0.25">
      <c r="D907" s="23"/>
    </row>
    <row r="908" spans="4:4" ht="15.75" customHeight="1" x14ac:dyDescent="0.25">
      <c r="D908" s="23"/>
    </row>
    <row r="909" spans="4:4" ht="15.75" customHeight="1" x14ac:dyDescent="0.25">
      <c r="D909" s="23"/>
    </row>
    <row r="910" spans="4:4" ht="15.75" customHeight="1" x14ac:dyDescent="0.25">
      <c r="D910" s="23"/>
    </row>
    <row r="911" spans="4:4" ht="15.75" customHeight="1" x14ac:dyDescent="0.25">
      <c r="D911" s="23"/>
    </row>
    <row r="912" spans="4:4" ht="15.75" customHeight="1" x14ac:dyDescent="0.25">
      <c r="D912" s="23"/>
    </row>
    <row r="913" spans="4:4" ht="15.75" customHeight="1" x14ac:dyDescent="0.25">
      <c r="D913" s="23"/>
    </row>
    <row r="914" spans="4:4" ht="15.75" customHeight="1" x14ac:dyDescent="0.25">
      <c r="D914" s="23"/>
    </row>
    <row r="915" spans="4:4" ht="15.75" customHeight="1" x14ac:dyDescent="0.25">
      <c r="D915" s="23"/>
    </row>
    <row r="916" spans="4:4" ht="15.75" customHeight="1" x14ac:dyDescent="0.25">
      <c r="D916" s="23"/>
    </row>
    <row r="917" spans="4:4" ht="15.75" customHeight="1" x14ac:dyDescent="0.25">
      <c r="D917" s="23"/>
    </row>
    <row r="918" spans="4:4" ht="15.75" customHeight="1" x14ac:dyDescent="0.25">
      <c r="D918" s="23"/>
    </row>
    <row r="919" spans="4:4" ht="15.75" customHeight="1" x14ac:dyDescent="0.25">
      <c r="D919" s="23"/>
    </row>
    <row r="920" spans="4:4" ht="15.75" customHeight="1" x14ac:dyDescent="0.25">
      <c r="D920" s="23"/>
    </row>
    <row r="921" spans="4:4" ht="15.75" customHeight="1" x14ac:dyDescent="0.25">
      <c r="D921" s="23"/>
    </row>
    <row r="922" spans="4:4" ht="15.75" customHeight="1" x14ac:dyDescent="0.25">
      <c r="D922" s="23"/>
    </row>
    <row r="923" spans="4:4" ht="15.75" customHeight="1" x14ac:dyDescent="0.25">
      <c r="D923" s="23"/>
    </row>
    <row r="924" spans="4:4" ht="15.75" customHeight="1" x14ac:dyDescent="0.25">
      <c r="D924" s="23"/>
    </row>
    <row r="925" spans="4:4" ht="15.75" customHeight="1" x14ac:dyDescent="0.25">
      <c r="D925" s="23"/>
    </row>
    <row r="926" spans="4:4" ht="15.75" customHeight="1" x14ac:dyDescent="0.25">
      <c r="D926" s="23"/>
    </row>
    <row r="927" spans="4:4" ht="15.75" customHeight="1" x14ac:dyDescent="0.25">
      <c r="D927" s="23"/>
    </row>
    <row r="928" spans="4:4" ht="15.75" customHeight="1" x14ac:dyDescent="0.25">
      <c r="D928" s="23"/>
    </row>
    <row r="929" spans="4:4" ht="15.75" customHeight="1" x14ac:dyDescent="0.25">
      <c r="D929" s="23"/>
    </row>
    <row r="930" spans="4:4" ht="15.75" customHeight="1" x14ac:dyDescent="0.25">
      <c r="D930" s="23"/>
    </row>
    <row r="931" spans="4:4" ht="15.75" customHeight="1" x14ac:dyDescent="0.25">
      <c r="D931" s="23"/>
    </row>
    <row r="932" spans="4:4" ht="15.75" customHeight="1" x14ac:dyDescent="0.25">
      <c r="D932" s="23"/>
    </row>
    <row r="933" spans="4:4" ht="15.75" customHeight="1" x14ac:dyDescent="0.25">
      <c r="D933" s="23"/>
    </row>
    <row r="934" spans="4:4" ht="15.75" customHeight="1" x14ac:dyDescent="0.25">
      <c r="D934" s="23"/>
    </row>
    <row r="935" spans="4:4" ht="15.75" customHeight="1" x14ac:dyDescent="0.25">
      <c r="D935" s="23"/>
    </row>
    <row r="936" spans="4:4" ht="15.75" customHeight="1" x14ac:dyDescent="0.25">
      <c r="D936" s="23"/>
    </row>
    <row r="937" spans="4:4" ht="15.75" customHeight="1" x14ac:dyDescent="0.25">
      <c r="D937" s="23"/>
    </row>
    <row r="938" spans="4:4" ht="15.75" customHeight="1" x14ac:dyDescent="0.25">
      <c r="D938" s="23"/>
    </row>
    <row r="939" spans="4:4" ht="15.75" customHeight="1" x14ac:dyDescent="0.25">
      <c r="D939" s="23"/>
    </row>
    <row r="940" spans="4:4" ht="15.75" customHeight="1" x14ac:dyDescent="0.25">
      <c r="D940" s="23"/>
    </row>
    <row r="941" spans="4:4" ht="15.75" customHeight="1" x14ac:dyDescent="0.25">
      <c r="D941" s="23"/>
    </row>
    <row r="942" spans="4:4" ht="15.75" customHeight="1" x14ac:dyDescent="0.25">
      <c r="D942" s="23"/>
    </row>
    <row r="943" spans="4:4" ht="15.75" customHeight="1" x14ac:dyDescent="0.25">
      <c r="D943" s="23"/>
    </row>
    <row r="944" spans="4:4" ht="15.75" customHeight="1" x14ac:dyDescent="0.25">
      <c r="D944" s="23"/>
    </row>
    <row r="945" spans="4:4" ht="15.75" customHeight="1" x14ac:dyDescent="0.25">
      <c r="D945" s="23"/>
    </row>
    <row r="946" spans="4:4" ht="15.75" customHeight="1" x14ac:dyDescent="0.25">
      <c r="D946" s="23"/>
    </row>
    <row r="947" spans="4:4" ht="15.75" customHeight="1" x14ac:dyDescent="0.25">
      <c r="D947" s="23"/>
    </row>
    <row r="948" spans="4:4" ht="15.75" customHeight="1" x14ac:dyDescent="0.25">
      <c r="D948" s="23"/>
    </row>
    <row r="949" spans="4:4" ht="15.75" customHeight="1" x14ac:dyDescent="0.25">
      <c r="D949" s="23"/>
    </row>
    <row r="950" spans="4:4" ht="15.75" customHeight="1" x14ac:dyDescent="0.25">
      <c r="D950" s="23"/>
    </row>
    <row r="951" spans="4:4" ht="15.75" customHeight="1" x14ac:dyDescent="0.25">
      <c r="D951" s="23"/>
    </row>
    <row r="952" spans="4:4" ht="15.75" customHeight="1" x14ac:dyDescent="0.25">
      <c r="D952" s="23"/>
    </row>
    <row r="953" spans="4:4" ht="15.75" customHeight="1" x14ac:dyDescent="0.25">
      <c r="D953" s="23"/>
    </row>
    <row r="954" spans="4:4" ht="15.75" customHeight="1" x14ac:dyDescent="0.25">
      <c r="D954" s="23"/>
    </row>
    <row r="955" spans="4:4" ht="15.75" customHeight="1" x14ac:dyDescent="0.25">
      <c r="D955" s="23"/>
    </row>
    <row r="956" spans="4:4" ht="15.75" customHeight="1" x14ac:dyDescent="0.25">
      <c r="D956" s="23"/>
    </row>
    <row r="957" spans="4:4" ht="15.75" customHeight="1" x14ac:dyDescent="0.25">
      <c r="D957" s="23"/>
    </row>
    <row r="958" spans="4:4" ht="15.75" customHeight="1" x14ac:dyDescent="0.25">
      <c r="D958" s="23"/>
    </row>
    <row r="959" spans="4:4" ht="15.75" customHeight="1" x14ac:dyDescent="0.25">
      <c r="D959" s="23"/>
    </row>
    <row r="960" spans="4:4" ht="15.75" customHeight="1" x14ac:dyDescent="0.25">
      <c r="D960" s="23"/>
    </row>
    <row r="961" spans="4:4" ht="15.75" customHeight="1" x14ac:dyDescent="0.25">
      <c r="D961" s="23"/>
    </row>
    <row r="962" spans="4:4" ht="15.75" customHeight="1" x14ac:dyDescent="0.25">
      <c r="D962" s="23"/>
    </row>
    <row r="963" spans="4:4" ht="15.75" customHeight="1" x14ac:dyDescent="0.25">
      <c r="D963" s="23"/>
    </row>
    <row r="964" spans="4:4" ht="15.75" customHeight="1" x14ac:dyDescent="0.25">
      <c r="D964" s="23"/>
    </row>
    <row r="965" spans="4:4" ht="15.75" customHeight="1" x14ac:dyDescent="0.25">
      <c r="D965" s="23"/>
    </row>
    <row r="966" spans="4:4" ht="15.75" customHeight="1" x14ac:dyDescent="0.25">
      <c r="D966" s="23"/>
    </row>
    <row r="967" spans="4:4" ht="15.75" customHeight="1" x14ac:dyDescent="0.25">
      <c r="D967" s="23"/>
    </row>
    <row r="968" spans="4:4" ht="15.75" customHeight="1" x14ac:dyDescent="0.25">
      <c r="D968" s="23"/>
    </row>
    <row r="969" spans="4:4" ht="15.75" customHeight="1" x14ac:dyDescent="0.25">
      <c r="D969" s="23"/>
    </row>
    <row r="970" spans="4:4" ht="15.75" customHeight="1" x14ac:dyDescent="0.25">
      <c r="D970" s="23"/>
    </row>
    <row r="971" spans="4:4" ht="15.75" customHeight="1" x14ac:dyDescent="0.25">
      <c r="D971" s="23"/>
    </row>
    <row r="972" spans="4:4" ht="15.75" customHeight="1" x14ac:dyDescent="0.25">
      <c r="D972" s="23"/>
    </row>
    <row r="973" spans="4:4" ht="15.75" customHeight="1" x14ac:dyDescent="0.25">
      <c r="D973" s="23"/>
    </row>
    <row r="974" spans="4:4" ht="15.75" customHeight="1" x14ac:dyDescent="0.25">
      <c r="D974" s="23"/>
    </row>
    <row r="975" spans="4:4" ht="15.75" customHeight="1" x14ac:dyDescent="0.25">
      <c r="D975" s="23"/>
    </row>
    <row r="976" spans="4:4" ht="15.75" customHeight="1" x14ac:dyDescent="0.25">
      <c r="D976" s="23"/>
    </row>
    <row r="977" spans="4:4" ht="15.75" customHeight="1" x14ac:dyDescent="0.25">
      <c r="D977" s="23"/>
    </row>
    <row r="978" spans="4:4" ht="15.75" customHeight="1" x14ac:dyDescent="0.25">
      <c r="D978" s="23"/>
    </row>
    <row r="979" spans="4:4" ht="15.75" customHeight="1" x14ac:dyDescent="0.25">
      <c r="D979" s="23"/>
    </row>
    <row r="980" spans="4:4" ht="15.75" customHeight="1" x14ac:dyDescent="0.25">
      <c r="D980" s="23"/>
    </row>
    <row r="981" spans="4:4" ht="15.75" customHeight="1" x14ac:dyDescent="0.25">
      <c r="D981" s="23"/>
    </row>
    <row r="982" spans="4:4" ht="15.75" customHeight="1" x14ac:dyDescent="0.25">
      <c r="D982" s="23"/>
    </row>
    <row r="983" spans="4:4" ht="15.75" customHeight="1" x14ac:dyDescent="0.25">
      <c r="D983" s="23"/>
    </row>
    <row r="984" spans="4:4" ht="15.75" customHeight="1" x14ac:dyDescent="0.25">
      <c r="D984" s="23"/>
    </row>
    <row r="985" spans="4:4" ht="15.75" customHeight="1" x14ac:dyDescent="0.25">
      <c r="D985" s="23"/>
    </row>
    <row r="986" spans="4:4" ht="15.75" customHeight="1" x14ac:dyDescent="0.25">
      <c r="D986" s="23"/>
    </row>
    <row r="987" spans="4:4" ht="15.75" customHeight="1" x14ac:dyDescent="0.25">
      <c r="D987" s="23"/>
    </row>
    <row r="988" spans="4:4" ht="15.75" customHeight="1" x14ac:dyDescent="0.25">
      <c r="D988" s="23"/>
    </row>
    <row r="989" spans="4:4" ht="15.75" customHeight="1" x14ac:dyDescent="0.25">
      <c r="D989" s="23"/>
    </row>
    <row r="990" spans="4:4" ht="15.75" customHeight="1" x14ac:dyDescent="0.25">
      <c r="D990" s="23"/>
    </row>
    <row r="991" spans="4:4" ht="15.75" customHeight="1" x14ac:dyDescent="0.25">
      <c r="D991" s="23"/>
    </row>
    <row r="992" spans="4:4" ht="15.75" customHeight="1" x14ac:dyDescent="0.25">
      <c r="D992" s="23"/>
    </row>
    <row r="993" spans="4:4" ht="15.75" customHeight="1" x14ac:dyDescent="0.25">
      <c r="D993" s="23"/>
    </row>
    <row r="994" spans="4:4" ht="15.75" customHeight="1" x14ac:dyDescent="0.25">
      <c r="D994" s="23"/>
    </row>
    <row r="995" spans="4:4" ht="15.75" customHeight="1" x14ac:dyDescent="0.25">
      <c r="D995" s="23"/>
    </row>
    <row r="996" spans="4:4" ht="15.75" customHeight="1" x14ac:dyDescent="0.25">
      <c r="D996" s="23"/>
    </row>
    <row r="997" spans="4:4" ht="15.75" customHeight="1" x14ac:dyDescent="0.25">
      <c r="D997" s="23"/>
    </row>
    <row r="998" spans="4:4" ht="15.75" customHeight="1" x14ac:dyDescent="0.25">
      <c r="D998" s="23"/>
    </row>
    <row r="999" spans="4:4" ht="15.75" customHeight="1" x14ac:dyDescent="0.25">
      <c r="D999" s="23"/>
    </row>
    <row r="1000" spans="4:4" ht="15.75" customHeight="1" x14ac:dyDescent="0.25">
      <c r="D1000" s="23"/>
    </row>
    <row r="1001" spans="4:4" ht="15.75" customHeight="1" x14ac:dyDescent="0.25">
      <c r="D1001" s="23"/>
    </row>
    <row r="1002" spans="4:4" ht="15.75" customHeight="1" x14ac:dyDescent="0.25">
      <c r="D1002" s="23"/>
    </row>
    <row r="1003" spans="4:4" ht="15.75" customHeight="1" x14ac:dyDescent="0.25">
      <c r="D1003" s="23"/>
    </row>
    <row r="1004" spans="4:4" ht="15.75" customHeight="1" x14ac:dyDescent="0.25">
      <c r="D1004" s="23"/>
    </row>
    <row r="1005" spans="4:4" ht="15.75" customHeight="1" x14ac:dyDescent="0.25">
      <c r="D1005" s="23"/>
    </row>
    <row r="1006" spans="4:4" ht="15.75" customHeight="1" x14ac:dyDescent="0.25">
      <c r="D1006" s="23"/>
    </row>
    <row r="1007" spans="4:4" ht="15.75" customHeight="1" x14ac:dyDescent="0.25">
      <c r="D1007" s="23"/>
    </row>
    <row r="1008" spans="4:4" ht="15.75" customHeight="1" x14ac:dyDescent="0.25">
      <c r="D1008" s="23"/>
    </row>
  </sheetData>
  <mergeCells count="3">
    <mergeCell ref="B1:I1"/>
    <mergeCell ref="B2:I2"/>
    <mergeCell ref="B28:E28"/>
  </mergeCells>
  <phoneticPr fontId="37" type="noConversion"/>
  <conditionalFormatting sqref="H4:H27">
    <cfRule type="containsText" dxfId="4" priority="4" operator="containsText" text="Done">
      <formula>NOT(ISERROR(SEARCH("Done",H4)))</formula>
    </cfRule>
    <cfRule type="containsText" dxfId="3" priority="5" operator="containsText" text="To Do">
      <formula>NOT(ISERROR(SEARCH("To Do",H4)))</formula>
    </cfRule>
  </conditionalFormatting>
  <conditionalFormatting sqref="I4:I27">
    <cfRule type="containsText" dxfId="2" priority="1" operator="containsText" text="Baja">
      <formula>NOT(ISERROR(SEARCH("Baja",I4)))</formula>
    </cfRule>
    <cfRule type="containsText" dxfId="1" priority="2" operator="containsText" text="Medio">
      <formula>NOT(ISERROR(SEARCH("Medio",I4)))</formula>
    </cfRule>
    <cfRule type="containsText" dxfId="0" priority="3" operator="containsText" text="Alta">
      <formula>NOT(ISERROR(SEARCH("Alta",I4)))</formula>
    </cfRule>
  </conditionalFormatting>
  <dataValidations count="2">
    <dataValidation type="list" allowBlank="1" showErrorMessage="1" sqref="H4:H27" xr:uid="{00000000-0002-0000-0100-000000000000}">
      <formula1>"Done,To Do"</formula1>
    </dataValidation>
    <dataValidation type="list" allowBlank="1" showErrorMessage="1" sqref="I4:I27" xr:uid="{00000000-0002-0000-0100-000001000000}">
      <formula1>"Alta,Medio,Baja"</formula1>
    </dataValidation>
  </dataValidation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004"/>
  <sheetViews>
    <sheetView showGridLines="0" topLeftCell="C23" zoomScaleNormal="100" workbookViewId="0">
      <selection activeCell="O4" sqref="O4"/>
    </sheetView>
  </sheetViews>
  <sheetFormatPr baseColWidth="10" defaultColWidth="14.42578125" defaultRowHeight="15" customHeight="1" x14ac:dyDescent="0.25"/>
  <cols>
    <col min="1" max="1" width="3" customWidth="1"/>
    <col min="2" max="2" width="10" customWidth="1"/>
    <col min="3" max="4" width="14" customWidth="1"/>
    <col min="5" max="6" width="16" customWidth="1"/>
    <col min="7" max="8" width="15" customWidth="1"/>
    <col min="9" max="9" width="9.7109375" hidden="1" customWidth="1"/>
    <col min="10" max="10" width="12.85546875" hidden="1" customWidth="1"/>
    <col min="11" max="11" width="6" hidden="1" customWidth="1"/>
    <col min="12" max="12" width="18.5703125" hidden="1" customWidth="1"/>
    <col min="13" max="29" width="8.7109375" customWidth="1"/>
  </cols>
  <sheetData>
    <row r="1" spans="2:13" ht="21" x14ac:dyDescent="0.25">
      <c r="B1" s="79" t="s">
        <v>88</v>
      </c>
      <c r="C1" s="75"/>
      <c r="D1" s="75"/>
      <c r="E1" s="75"/>
      <c r="F1" s="75"/>
      <c r="G1" s="75"/>
      <c r="H1" s="76"/>
    </row>
    <row r="2" spans="2:13" x14ac:dyDescent="0.25">
      <c r="B2" s="80" t="s">
        <v>89</v>
      </c>
      <c r="C2" s="75"/>
      <c r="D2" s="75"/>
      <c r="E2" s="75"/>
      <c r="F2" s="75"/>
      <c r="G2" s="75"/>
      <c r="H2" s="76"/>
    </row>
    <row r="3" spans="2:13" ht="30" customHeight="1" x14ac:dyDescent="0.25">
      <c r="B3" s="24" t="s">
        <v>90</v>
      </c>
      <c r="C3" s="24" t="s">
        <v>97</v>
      </c>
      <c r="D3" s="24" t="s">
        <v>91</v>
      </c>
      <c r="E3" s="25" t="s">
        <v>92</v>
      </c>
      <c r="F3" s="26" t="s">
        <v>93</v>
      </c>
      <c r="G3" s="27" t="s">
        <v>94</v>
      </c>
      <c r="H3" s="32" t="s">
        <v>95</v>
      </c>
      <c r="I3" s="33" t="s">
        <v>98</v>
      </c>
      <c r="J3" s="33" t="s">
        <v>99</v>
      </c>
      <c r="K3" s="33" t="s">
        <v>100</v>
      </c>
      <c r="L3" s="34" t="s">
        <v>101</v>
      </c>
    </row>
    <row r="4" spans="2:13" ht="21.75" customHeight="1" x14ac:dyDescent="0.25">
      <c r="B4" s="28">
        <v>1</v>
      </c>
      <c r="C4" s="28">
        <v>1</v>
      </c>
      <c r="D4" s="35">
        <v>46265</v>
      </c>
      <c r="E4" s="29">
        <f>IF($B4&gt;=25, 0, '⚙ Configuración'!$C$11 * (25 - $B4) / 24)</f>
        <v>76</v>
      </c>
      <c r="F4" s="15"/>
      <c r="G4" s="30">
        <f t="shared" ref="G4:G31" si="0">SUM($F$4:F4)</f>
        <v>0</v>
      </c>
      <c r="H4" s="36">
        <f>'⚙ Configuración'!$C$11-G4</f>
        <v>76</v>
      </c>
      <c r="I4" s="37"/>
      <c r="J4" s="38">
        <f>IF($B4&gt;=25, '⚙ Configuración'!$C$11, '⚙ Configuración'!$C$11 * ($B4 - 1) / 24)</f>
        <v>0</v>
      </c>
      <c r="K4" s="39">
        <v>0</v>
      </c>
      <c r="L4" s="39">
        <v>76</v>
      </c>
    </row>
    <row r="5" spans="2:13" ht="21.75" customHeight="1" x14ac:dyDescent="0.25">
      <c r="B5" s="28">
        <v>2</v>
      </c>
      <c r="C5" s="28">
        <v>1</v>
      </c>
      <c r="D5" s="35">
        <v>46268</v>
      </c>
      <c r="E5" s="29">
        <f>IF($B5&gt;=25, 0, '⚙ Configuración'!$C$11 * (25 - $B5) / 24)</f>
        <v>72.833333333333329</v>
      </c>
      <c r="F5" s="15"/>
      <c r="G5" s="30">
        <f t="shared" si="0"/>
        <v>0</v>
      </c>
      <c r="H5" s="36">
        <f>'⚙ Configuración'!$C$11-G5</f>
        <v>76</v>
      </c>
      <c r="I5" s="37"/>
      <c r="J5" s="38">
        <f>IF($B5&gt;=25, '⚙ Configuración'!$C$11, '⚙ Configuración'!$C$11 * ($B5 - 1) / 24)</f>
        <v>3.1666666666666665</v>
      </c>
      <c r="K5" s="67"/>
      <c r="L5" s="39"/>
    </row>
    <row r="6" spans="2:13" ht="21.75" customHeight="1" x14ac:dyDescent="0.25">
      <c r="B6" s="28">
        <v>3</v>
      </c>
      <c r="C6" s="28">
        <v>1</v>
      </c>
      <c r="D6" s="35">
        <v>46272</v>
      </c>
      <c r="E6" s="29">
        <f>IF($B6&gt;=25, 0, '⚙ Configuración'!$C$11 * (25 - $B6) / 24)</f>
        <v>69.666666666666671</v>
      </c>
      <c r="F6" s="15">
        <f>5</f>
        <v>5</v>
      </c>
      <c r="G6" s="30">
        <f t="shared" si="0"/>
        <v>5</v>
      </c>
      <c r="H6" s="36">
        <f>'⚙ Configuración'!$C$11-G6</f>
        <v>71</v>
      </c>
      <c r="I6" s="37"/>
      <c r="J6" s="38">
        <f>IF($B6&gt;=25, '⚙ Configuración'!$C$11, '⚙ Configuración'!$C$11 * ($B6 - 1) / 24)</f>
        <v>6.333333333333333</v>
      </c>
      <c r="K6" s="67"/>
      <c r="L6" s="39"/>
    </row>
    <row r="7" spans="2:13" ht="21.75" customHeight="1" x14ac:dyDescent="0.25">
      <c r="B7" s="28">
        <v>4</v>
      </c>
      <c r="C7" s="28">
        <v>1</v>
      </c>
      <c r="D7" s="35">
        <v>46275</v>
      </c>
      <c r="E7" s="29">
        <f>IF($B7&gt;=25, 0, '⚙ Configuración'!$C$11 * (25 - $B7) / 24)</f>
        <v>66.5</v>
      </c>
      <c r="F7" s="15">
        <f>3+3+2+3</f>
        <v>11</v>
      </c>
      <c r="G7" s="30">
        <f t="shared" si="0"/>
        <v>16</v>
      </c>
      <c r="H7" s="36">
        <f>'⚙ Configuración'!$C$11-G7</f>
        <v>60</v>
      </c>
      <c r="I7" s="37"/>
      <c r="J7" s="38">
        <f>IF($B7&gt;=25, '⚙ Configuración'!$C$11, '⚙ Configuración'!$C$11 * ($B7 - 1) / 24)</f>
        <v>9.5</v>
      </c>
      <c r="K7" s="67"/>
      <c r="L7" s="39"/>
      <c r="M7" s="31" t="s">
        <v>96</v>
      </c>
    </row>
    <row r="8" spans="2:13" ht="21.75" customHeight="1" x14ac:dyDescent="0.25">
      <c r="B8" s="28">
        <v>5</v>
      </c>
      <c r="C8" s="28">
        <v>1</v>
      </c>
      <c r="D8" s="35">
        <v>46279</v>
      </c>
      <c r="E8" s="29">
        <f>IF($B8&gt;=25, 0, '⚙ Configuración'!$C$11 * (25 - $B8) / 24)</f>
        <v>63.333333333333336</v>
      </c>
      <c r="F8" s="15"/>
      <c r="G8" s="30">
        <f t="shared" si="0"/>
        <v>16</v>
      </c>
      <c r="H8" s="36">
        <f>'⚙ Configuración'!$C$11-G8</f>
        <v>60</v>
      </c>
      <c r="I8" s="37"/>
      <c r="J8" s="38">
        <f>IF($B8&gt;=25, '⚙ Configuración'!$C$11, '⚙ Configuración'!$C$11 * ($B8 - 1) / 24)</f>
        <v>12.666666666666666</v>
      </c>
      <c r="K8" s="67"/>
      <c r="L8" s="39"/>
      <c r="M8" s="40" t="s">
        <v>102</v>
      </c>
    </row>
    <row r="9" spans="2:13" ht="21.75" customHeight="1" x14ac:dyDescent="0.25">
      <c r="B9" s="28">
        <v>6</v>
      </c>
      <c r="C9" s="28">
        <v>1</v>
      </c>
      <c r="D9" s="35">
        <v>46282</v>
      </c>
      <c r="E9" s="29">
        <f>IF($B9&gt;=25, 0, '⚙ Configuración'!$C$11 * (25 - $B9) / 24)</f>
        <v>60.166666666666664</v>
      </c>
      <c r="F9" s="15"/>
      <c r="G9" s="30">
        <f t="shared" si="0"/>
        <v>16</v>
      </c>
      <c r="H9" s="36">
        <f>'⚙ Configuración'!$C$11-G9</f>
        <v>60</v>
      </c>
      <c r="I9" s="37">
        <f>'⚙ Configuración'!$C$11</f>
        <v>76</v>
      </c>
      <c r="J9" s="38">
        <f>IF($B9&gt;=25, '⚙ Configuración'!$C$11, '⚙ Configuración'!$C$11 * ($B9 - 1) / 24)</f>
        <v>15.833333333333334</v>
      </c>
      <c r="K9" s="23">
        <v>13</v>
      </c>
      <c r="L9" s="39">
        <v>63</v>
      </c>
      <c r="M9" s="40" t="s">
        <v>102</v>
      </c>
    </row>
    <row r="10" spans="2:13" ht="21.75" customHeight="1" x14ac:dyDescent="0.25">
      <c r="B10" s="28">
        <v>7</v>
      </c>
      <c r="C10" s="28">
        <v>2</v>
      </c>
      <c r="D10" s="35">
        <v>46286</v>
      </c>
      <c r="E10" s="29">
        <f>IF($B10&gt;=25, 0, '⚙ Configuración'!$C$11 * (25 - $B10) / 24)</f>
        <v>57</v>
      </c>
      <c r="F10" s="15"/>
      <c r="G10" s="30">
        <f t="shared" si="0"/>
        <v>16</v>
      </c>
      <c r="H10" s="36">
        <f>'⚙ Configuración'!$C$11-G10</f>
        <v>60</v>
      </c>
      <c r="I10" s="37"/>
      <c r="J10" s="38">
        <f>IF($B10&gt;=25, '⚙ Configuración'!$C$11, '⚙ Configuración'!$C$11 * ($B10 - 1) / 24)</f>
        <v>19</v>
      </c>
      <c r="K10" s="39"/>
      <c r="L10" s="39"/>
      <c r="M10" s="31"/>
    </row>
    <row r="11" spans="2:13" ht="21.75" customHeight="1" x14ac:dyDescent="0.25">
      <c r="B11" s="28">
        <v>8</v>
      </c>
      <c r="C11" s="28">
        <v>2</v>
      </c>
      <c r="D11" s="35">
        <v>46289</v>
      </c>
      <c r="E11" s="29">
        <f>IF($B11&gt;=25, 0, '⚙ Configuración'!$C$11 * (25 - $B11) / 24)</f>
        <v>53.833333333333336</v>
      </c>
      <c r="F11" s="15"/>
      <c r="G11" s="30">
        <f t="shared" si="0"/>
        <v>16</v>
      </c>
      <c r="H11" s="36">
        <f>'⚙ Configuración'!$C$11-G11</f>
        <v>60</v>
      </c>
      <c r="I11" s="37"/>
      <c r="J11" s="38">
        <f>IF($B11&gt;=25, '⚙ Configuración'!$C$11, '⚙ Configuración'!$C$11 * ($B11 - 1) / 24)</f>
        <v>22.166666666666668</v>
      </c>
      <c r="K11" s="39"/>
      <c r="L11" s="39"/>
      <c r="M11" s="31"/>
    </row>
    <row r="12" spans="2:13" ht="21.75" customHeight="1" x14ac:dyDescent="0.25">
      <c r="B12" s="28">
        <v>9</v>
      </c>
      <c r="C12" s="28">
        <v>2</v>
      </c>
      <c r="D12" s="35">
        <v>46293</v>
      </c>
      <c r="E12" s="29">
        <f>IF($B12&gt;=25, 0, '⚙ Configuración'!$C$11 * (25 - $B12) / 24)</f>
        <v>50.666666666666664</v>
      </c>
      <c r="F12" s="15"/>
      <c r="G12" s="30">
        <f t="shared" si="0"/>
        <v>16</v>
      </c>
      <c r="H12" s="36">
        <f>'⚙ Configuración'!$C$11-G12</f>
        <v>60</v>
      </c>
      <c r="I12" s="37"/>
      <c r="J12" s="38">
        <f>IF($B12&gt;=25, '⚙ Configuración'!$C$11, '⚙ Configuración'!$C$11 * ($B12 - 1) / 24)</f>
        <v>25.333333333333332</v>
      </c>
      <c r="K12" s="39"/>
      <c r="L12" s="39"/>
      <c r="M12" s="31"/>
    </row>
    <row r="13" spans="2:13" ht="21.75" customHeight="1" x14ac:dyDescent="0.25">
      <c r="B13" s="28">
        <v>10</v>
      </c>
      <c r="C13" s="28">
        <v>2</v>
      </c>
      <c r="D13" s="35">
        <v>46296</v>
      </c>
      <c r="E13" s="29">
        <f>IF($B13&gt;=25, 0, '⚙ Configuración'!$C$11 * (25 - $B13) / 24)</f>
        <v>47.5</v>
      </c>
      <c r="F13" s="15"/>
      <c r="G13" s="30">
        <f t="shared" si="0"/>
        <v>16</v>
      </c>
      <c r="H13" s="36">
        <f>'⚙ Configuración'!$C$11-G13</f>
        <v>60</v>
      </c>
      <c r="I13" s="37"/>
      <c r="J13" s="38">
        <f>IF($B13&gt;=25, '⚙ Configuración'!$C$11, '⚙ Configuración'!$C$11 * ($B13 - 1) / 24)</f>
        <v>28.5</v>
      </c>
      <c r="K13" s="39"/>
      <c r="L13" s="39"/>
      <c r="M13" s="31"/>
    </row>
    <row r="14" spans="2:13" ht="21.75" customHeight="1" x14ac:dyDescent="0.25">
      <c r="B14" s="28">
        <v>11</v>
      </c>
      <c r="C14" s="28">
        <v>2</v>
      </c>
      <c r="D14" s="35">
        <v>46300</v>
      </c>
      <c r="E14" s="29">
        <f>IF($B14&gt;=25, 0, '⚙ Configuración'!$C$11 * (25 - $B14) / 24)</f>
        <v>44.333333333333336</v>
      </c>
      <c r="F14" s="15"/>
      <c r="G14" s="30">
        <f t="shared" si="0"/>
        <v>16</v>
      </c>
      <c r="H14" s="36">
        <f>'⚙ Configuración'!$C$11-G14</f>
        <v>60</v>
      </c>
      <c r="I14" s="37"/>
      <c r="J14" s="38">
        <f>IF($B14&gt;=25, '⚙ Configuración'!$C$11, '⚙ Configuración'!$C$11 * ($B14 - 1) / 24)</f>
        <v>31.666666666666668</v>
      </c>
      <c r="K14" s="39"/>
      <c r="L14" s="39"/>
      <c r="M14" s="31"/>
    </row>
    <row r="15" spans="2:13" ht="21.75" customHeight="1" x14ac:dyDescent="0.25">
      <c r="B15" s="28">
        <v>12</v>
      </c>
      <c r="C15" s="28">
        <v>2</v>
      </c>
      <c r="D15" s="35">
        <v>46303</v>
      </c>
      <c r="E15" s="29">
        <f>IF($B15&gt;=25, 0, '⚙ Configuración'!$C$11 * (25 - $B15) / 24)</f>
        <v>41.166666666666664</v>
      </c>
      <c r="F15" s="15"/>
      <c r="G15" s="30">
        <f t="shared" si="0"/>
        <v>16</v>
      </c>
      <c r="H15" s="36">
        <f>'⚙ Configuración'!$C$11-G15</f>
        <v>60</v>
      </c>
      <c r="I15" s="37">
        <f>'⚙ Configuración'!$C$11</f>
        <v>76</v>
      </c>
      <c r="J15" s="38">
        <f>IF($B15&gt;=25, '⚙ Configuración'!$C$11, '⚙ Configuración'!$C$11 * ($B15 - 1) / 24)</f>
        <v>34.833333333333336</v>
      </c>
      <c r="K15" s="39">
        <v>42</v>
      </c>
      <c r="L15" s="39">
        <v>42</v>
      </c>
      <c r="M15" s="31"/>
    </row>
    <row r="16" spans="2:13" ht="21.75" customHeight="1" x14ac:dyDescent="0.25">
      <c r="B16" s="28">
        <v>13</v>
      </c>
      <c r="C16" s="28">
        <v>3</v>
      </c>
      <c r="D16" s="35">
        <v>46307</v>
      </c>
      <c r="E16" s="29">
        <f>IF($B16&gt;=25, 0, '⚙ Configuración'!$C$11 * (25 - $B16) / 24)</f>
        <v>38</v>
      </c>
      <c r="F16" s="15"/>
      <c r="G16" s="30">
        <f t="shared" si="0"/>
        <v>16</v>
      </c>
      <c r="H16" s="36">
        <f>'⚙ Configuración'!$C$11-G16</f>
        <v>60</v>
      </c>
      <c r="I16" s="37"/>
      <c r="J16" s="38">
        <f>IF($B16&gt;=25, '⚙ Configuración'!$C$11, '⚙ Configuración'!$C$11 * ($B16 - 1) / 24)</f>
        <v>38</v>
      </c>
      <c r="K16" s="39"/>
      <c r="L16" s="39"/>
    </row>
    <row r="17" spans="2:12" ht="21.75" customHeight="1" x14ac:dyDescent="0.25">
      <c r="B17" s="28">
        <v>14</v>
      </c>
      <c r="C17" s="28">
        <v>3</v>
      </c>
      <c r="D17" s="35">
        <v>46310</v>
      </c>
      <c r="E17" s="29">
        <f>IF($B17&gt;=25, 0, '⚙ Configuración'!$C$11 * (25 - $B17) / 24)</f>
        <v>34.833333333333336</v>
      </c>
      <c r="F17" s="15"/>
      <c r="G17" s="30">
        <f t="shared" si="0"/>
        <v>16</v>
      </c>
      <c r="H17" s="36">
        <f>'⚙ Configuración'!$C$11-G17</f>
        <v>60</v>
      </c>
      <c r="I17" s="37"/>
      <c r="J17" s="38">
        <f>IF($B17&gt;=25, '⚙ Configuración'!$C$11, '⚙ Configuración'!$C$11 * ($B17 - 1) / 24)</f>
        <v>41.166666666666664</v>
      </c>
      <c r="K17" s="39"/>
      <c r="L17" s="39"/>
    </row>
    <row r="18" spans="2:12" ht="21.75" customHeight="1" x14ac:dyDescent="0.25">
      <c r="B18" s="28">
        <v>15</v>
      </c>
      <c r="C18" s="28">
        <v>3</v>
      </c>
      <c r="D18" s="35">
        <v>46314</v>
      </c>
      <c r="E18" s="29">
        <f>IF($B18&gt;=25, 0, '⚙ Configuración'!$C$11 * (25 - $B18) / 24)</f>
        <v>31.666666666666668</v>
      </c>
      <c r="F18" s="15"/>
      <c r="G18" s="30">
        <f t="shared" si="0"/>
        <v>16</v>
      </c>
      <c r="H18" s="36">
        <f>'⚙ Configuración'!$C$11-G18</f>
        <v>60</v>
      </c>
      <c r="I18" s="37"/>
      <c r="J18" s="38">
        <f>IF($B18&gt;=25, '⚙ Configuración'!$C$11, '⚙ Configuración'!$C$11 * ($B18 - 1) / 24)</f>
        <v>44.333333333333336</v>
      </c>
      <c r="K18" s="39"/>
      <c r="L18" s="39"/>
    </row>
    <row r="19" spans="2:12" ht="21.75" customHeight="1" x14ac:dyDescent="0.25">
      <c r="B19" s="28">
        <v>16</v>
      </c>
      <c r="C19" s="28">
        <v>3</v>
      </c>
      <c r="D19" s="35">
        <v>46317</v>
      </c>
      <c r="E19" s="29">
        <f>IF($B19&gt;=25, 0, '⚙ Configuración'!$C$11 * (25 - $B19) / 24)</f>
        <v>28.5</v>
      </c>
      <c r="F19" s="15"/>
      <c r="G19" s="30">
        <f t="shared" si="0"/>
        <v>16</v>
      </c>
      <c r="H19" s="36">
        <f>'⚙ Configuración'!$C$11-G19</f>
        <v>60</v>
      </c>
      <c r="I19" s="37"/>
      <c r="J19" s="38">
        <f>IF($B19&gt;=25, '⚙ Configuración'!$C$11, '⚙ Configuración'!$C$11 * ($B19 - 1) / 24)</f>
        <v>47.5</v>
      </c>
      <c r="K19" s="39"/>
      <c r="L19" s="39"/>
    </row>
    <row r="20" spans="2:12" ht="21.75" customHeight="1" x14ac:dyDescent="0.25">
      <c r="B20" s="28">
        <v>17</v>
      </c>
      <c r="C20" s="28">
        <v>3</v>
      </c>
      <c r="D20" s="35">
        <v>46321</v>
      </c>
      <c r="E20" s="29">
        <f>IF($B20&gt;=25, 0, '⚙ Configuración'!$C$11 * (25 - $B20) / 24)</f>
        <v>25.333333333333332</v>
      </c>
      <c r="F20" s="15"/>
      <c r="G20" s="30">
        <f t="shared" si="0"/>
        <v>16</v>
      </c>
      <c r="H20" s="36">
        <f>'⚙ Configuración'!$C$11-G20</f>
        <v>60</v>
      </c>
      <c r="I20" s="37"/>
      <c r="J20" s="38">
        <f>IF($B20&gt;=25, '⚙ Configuración'!$C$11, '⚙ Configuración'!$C$11 * ($B20 - 1) / 24)</f>
        <v>50.666666666666664</v>
      </c>
      <c r="K20" s="39"/>
      <c r="L20" s="39"/>
    </row>
    <row r="21" spans="2:12" ht="21.75" customHeight="1" x14ac:dyDescent="0.25">
      <c r="B21" s="28">
        <v>18</v>
      </c>
      <c r="C21" s="28">
        <v>3</v>
      </c>
      <c r="D21" s="35">
        <v>46324</v>
      </c>
      <c r="E21" s="29">
        <f>IF($B21&gt;=25, 0, '⚙ Configuración'!$C$11 * (25 - $B21) / 24)</f>
        <v>22.166666666666668</v>
      </c>
      <c r="F21" s="15"/>
      <c r="G21" s="30">
        <f t="shared" si="0"/>
        <v>16</v>
      </c>
      <c r="H21" s="36">
        <f>'⚙ Configuración'!$C$11-G21</f>
        <v>60</v>
      </c>
      <c r="I21" s="37">
        <f>'⚙ Configuración'!$C$11</f>
        <v>76</v>
      </c>
      <c r="J21" s="38">
        <f>IF($B21&gt;=25, '⚙ Configuración'!$C$11, '⚙ Configuración'!$C$11 * ($B21 - 1) / 24)</f>
        <v>53.833333333333336</v>
      </c>
      <c r="K21" s="39">
        <v>63</v>
      </c>
      <c r="L21" s="23">
        <v>13</v>
      </c>
    </row>
    <row r="22" spans="2:12" ht="21.75" customHeight="1" x14ac:dyDescent="0.25">
      <c r="B22" s="28">
        <v>19</v>
      </c>
      <c r="C22" s="28">
        <v>4</v>
      </c>
      <c r="D22" s="35">
        <v>46328</v>
      </c>
      <c r="E22" s="29">
        <f>IF($B22&gt;=25, 0, '⚙ Configuración'!$C$11 * (25 - $B22) / 24)</f>
        <v>19</v>
      </c>
      <c r="F22" s="15"/>
      <c r="G22" s="30">
        <f t="shared" si="0"/>
        <v>16</v>
      </c>
      <c r="H22" s="36">
        <f>'⚙ Configuración'!$C$11-G22</f>
        <v>60</v>
      </c>
      <c r="I22" s="37"/>
      <c r="J22" s="38">
        <f>IF($B22&gt;=25, '⚙ Configuración'!$C$11, '⚙ Configuración'!$C$11 * ($B22 - 1) / 24)</f>
        <v>57</v>
      </c>
      <c r="K22" s="39"/>
      <c r="L22" s="39"/>
    </row>
    <row r="23" spans="2:12" ht="21.75" customHeight="1" x14ac:dyDescent="0.25">
      <c r="B23" s="28">
        <v>20</v>
      </c>
      <c r="C23" s="28">
        <v>4</v>
      </c>
      <c r="D23" s="35">
        <v>46331</v>
      </c>
      <c r="E23" s="29">
        <f>IF($B23&gt;=25, 0, '⚙ Configuración'!$C$11 * (25 - $B23) / 24)</f>
        <v>15.833333333333334</v>
      </c>
      <c r="F23" s="15"/>
      <c r="G23" s="30">
        <f t="shared" si="0"/>
        <v>16</v>
      </c>
      <c r="H23" s="36">
        <f>'⚙ Configuración'!$C$11-G23</f>
        <v>60</v>
      </c>
      <c r="I23" s="37"/>
      <c r="J23" s="38">
        <f>IF($B23&gt;=25, '⚙ Configuración'!$C$11, '⚙ Configuración'!$C$11 * ($B23 - 1) / 24)</f>
        <v>60.166666666666664</v>
      </c>
      <c r="K23" s="39"/>
      <c r="L23" s="39"/>
    </row>
    <row r="24" spans="2:12" ht="21.75" customHeight="1" x14ac:dyDescent="0.25">
      <c r="B24" s="28">
        <v>21</v>
      </c>
      <c r="C24" s="28">
        <v>4</v>
      </c>
      <c r="D24" s="35">
        <v>46335</v>
      </c>
      <c r="E24" s="29">
        <f>IF($B24&gt;=25, 0, '⚙ Configuración'!$C$11 * (25 - $B24) / 24)</f>
        <v>12.666666666666666</v>
      </c>
      <c r="F24" s="15"/>
      <c r="G24" s="30">
        <f t="shared" si="0"/>
        <v>16</v>
      </c>
      <c r="H24" s="36">
        <f>'⚙ Configuración'!$C$11-G24</f>
        <v>60</v>
      </c>
      <c r="I24" s="37"/>
      <c r="J24" s="38">
        <f>IF($B24&gt;=25, '⚙ Configuración'!$C$11, '⚙ Configuración'!$C$11 * ($B24 - 1) / 24)</f>
        <v>63.333333333333336</v>
      </c>
      <c r="K24" s="39"/>
      <c r="L24" s="39"/>
    </row>
    <row r="25" spans="2:12" ht="21.75" customHeight="1" x14ac:dyDescent="0.25">
      <c r="B25" s="28">
        <v>22</v>
      </c>
      <c r="C25" s="28">
        <v>4</v>
      </c>
      <c r="D25" s="35">
        <v>46338</v>
      </c>
      <c r="E25" s="29">
        <f>IF($B25&gt;=25, 0, '⚙ Configuración'!$C$11 * (25 - $B25) / 24)</f>
        <v>9.5</v>
      </c>
      <c r="F25" s="15"/>
      <c r="G25" s="30">
        <f t="shared" si="0"/>
        <v>16</v>
      </c>
      <c r="H25" s="36">
        <f>'⚙ Configuración'!$C$11-G25</f>
        <v>60</v>
      </c>
      <c r="I25" s="37"/>
      <c r="J25" s="38">
        <f>IF($B25&gt;=25, '⚙ Configuración'!$C$11, '⚙ Configuración'!$C$11 * ($B25 - 1) / 24)</f>
        <v>66.5</v>
      </c>
      <c r="K25" s="39"/>
      <c r="L25" s="39"/>
    </row>
    <row r="26" spans="2:12" ht="21.75" customHeight="1" x14ac:dyDescent="0.25">
      <c r="B26" s="28">
        <v>23</v>
      </c>
      <c r="C26" s="28">
        <v>4</v>
      </c>
      <c r="D26" s="35">
        <v>46335</v>
      </c>
      <c r="E26" s="29">
        <f>IF($B26&gt;=25, 0, '⚙ Configuración'!$C$11 * (25 - $B26) / 24)</f>
        <v>6.333333333333333</v>
      </c>
      <c r="F26" s="15"/>
      <c r="G26" s="30">
        <f t="shared" si="0"/>
        <v>16</v>
      </c>
      <c r="H26" s="36">
        <f>'⚙ Configuración'!$C$11-G26</f>
        <v>60</v>
      </c>
      <c r="I26" s="37"/>
      <c r="J26" s="38">
        <f>IF($B26&gt;=25, '⚙ Configuración'!$C$11, '⚙ Configuración'!$C$11 * ($B26 - 1) / 24)</f>
        <v>69.666666666666671</v>
      </c>
      <c r="K26" s="39"/>
      <c r="L26" s="39"/>
    </row>
    <row r="27" spans="2:12" ht="21.75" customHeight="1" x14ac:dyDescent="0.25">
      <c r="B27" s="28">
        <v>24</v>
      </c>
      <c r="C27" s="28">
        <v>4</v>
      </c>
      <c r="D27" s="35">
        <v>46342</v>
      </c>
      <c r="E27" s="29">
        <f>IF($B27&gt;=25, 0, '⚙ Configuración'!$C$11 * (25 - $B27) / 24)</f>
        <v>3.1666666666666665</v>
      </c>
      <c r="F27" s="15"/>
      <c r="G27" s="30">
        <f t="shared" si="0"/>
        <v>16</v>
      </c>
      <c r="H27" s="36">
        <f>'⚙ Configuración'!$C$11-G27</f>
        <v>60</v>
      </c>
      <c r="I27" s="37"/>
      <c r="J27" s="38">
        <f>IF($B27&gt;=25, '⚙ Configuración'!$C$11, '⚙ Configuración'!$C$11 * ($B27 - 1) / 24)</f>
        <v>72.833333333333329</v>
      </c>
      <c r="K27" s="39"/>
      <c r="L27" s="39"/>
    </row>
    <row r="28" spans="2:12" ht="21.75" customHeight="1" x14ac:dyDescent="0.25">
      <c r="B28" s="28">
        <v>25</v>
      </c>
      <c r="C28" s="28">
        <v>4</v>
      </c>
      <c r="D28" s="50">
        <v>46345</v>
      </c>
      <c r="E28" s="29">
        <f>IF($B28&gt;=25, 0, '⚙ Configuración'!$C$11 * (25 - $B28) / 24)</f>
        <v>0</v>
      </c>
      <c r="F28" s="15"/>
      <c r="G28" s="30">
        <f t="shared" si="0"/>
        <v>16</v>
      </c>
      <c r="H28" s="36">
        <f>'⚙ Configuración'!$C$11-G28</f>
        <v>60</v>
      </c>
      <c r="I28" s="37">
        <f>'⚙ Configuración'!$C$11</f>
        <v>76</v>
      </c>
      <c r="J28" s="38">
        <f>IF($B28&gt;=25, '⚙ Configuración'!$C$11, '⚙ Configuración'!$C$11 * ($B28 - 1) / 24)</f>
        <v>76</v>
      </c>
      <c r="K28" s="39">
        <f>'⚙ Configuración'!$C$11</f>
        <v>76</v>
      </c>
      <c r="L28" s="39">
        <v>0</v>
      </c>
    </row>
    <row r="29" spans="2:12" ht="21.75" customHeight="1" x14ac:dyDescent="0.25">
      <c r="B29" s="28">
        <v>26</v>
      </c>
      <c r="C29" s="28">
        <v>5</v>
      </c>
      <c r="D29" s="50">
        <v>46349</v>
      </c>
      <c r="E29" s="29">
        <f>IF($B29&gt;=25, 0, '⚙ Configuración'!$C$11 * (25 - $B29) / 24)</f>
        <v>0</v>
      </c>
      <c r="F29" s="15"/>
      <c r="G29" s="30">
        <f t="shared" si="0"/>
        <v>16</v>
      </c>
      <c r="H29" s="36">
        <f>'⚙ Configuración'!$C$11-G29</f>
        <v>60</v>
      </c>
      <c r="I29" s="37"/>
      <c r="J29" s="38">
        <f>IF($B29&gt;=25, '⚙ Configuración'!$C$11, '⚙ Configuración'!$C$11 * ($B29 - 1) / 24)</f>
        <v>76</v>
      </c>
      <c r="K29" s="39"/>
      <c r="L29" s="39"/>
    </row>
    <row r="30" spans="2:12" ht="21.75" customHeight="1" x14ac:dyDescent="0.25">
      <c r="B30" s="28">
        <v>27</v>
      </c>
      <c r="C30" s="28">
        <v>5</v>
      </c>
      <c r="D30" s="50">
        <v>46352</v>
      </c>
      <c r="E30" s="29">
        <f>IF($B30&gt;=25, 0, '⚙ Configuración'!$C$11 * (25 - $B30) / 24)</f>
        <v>0</v>
      </c>
      <c r="F30" s="15"/>
      <c r="G30" s="30">
        <f t="shared" si="0"/>
        <v>16</v>
      </c>
      <c r="H30" s="36">
        <f>'⚙ Configuración'!$C$11-G30</f>
        <v>60</v>
      </c>
      <c r="I30" s="37"/>
      <c r="J30" s="38">
        <f>IF($B30&gt;=25, '⚙ Configuración'!$C$11, '⚙ Configuración'!$C$11 * ($B30 - 1) / 24)</f>
        <v>76</v>
      </c>
      <c r="K30" s="39"/>
      <c r="L30" s="39"/>
    </row>
    <row r="31" spans="2:12" ht="21.75" customHeight="1" x14ac:dyDescent="0.25">
      <c r="B31" s="28">
        <v>28</v>
      </c>
      <c r="C31" s="28">
        <v>5</v>
      </c>
      <c r="D31" s="50">
        <v>46356</v>
      </c>
      <c r="E31" s="29">
        <f>IF($B31&gt;=25, 0, '⚙ Configuración'!$C$11 * (25 - $B31) / 24)</f>
        <v>0</v>
      </c>
      <c r="F31" s="15"/>
      <c r="G31" s="30">
        <f t="shared" si="0"/>
        <v>16</v>
      </c>
      <c r="H31" s="36">
        <f>'⚙ Configuración'!$C$11-G31</f>
        <v>60</v>
      </c>
      <c r="I31" s="37">
        <f>'⚙ Configuración'!$C$11</f>
        <v>76</v>
      </c>
      <c r="J31" s="38">
        <f>IF($B31&gt;=25, '⚙ Configuración'!$C$11, '⚙ Configuración'!$C$11 * ($B31 - 1) / 24)</f>
        <v>76</v>
      </c>
      <c r="K31" s="39"/>
      <c r="L31" s="39"/>
    </row>
    <row r="32" spans="2:12" ht="15.75" customHeight="1" x14ac:dyDescent="0.25"/>
    <row r="33" spans="8:8" ht="15.75" customHeight="1" x14ac:dyDescent="0.25"/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>
      <c r="H37" s="67"/>
    </row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">
    <mergeCell ref="B1:H1"/>
    <mergeCell ref="B2:H2"/>
  </mergeCells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004"/>
  <sheetViews>
    <sheetView showGridLines="0" tabSelected="1" zoomScale="85" zoomScaleNormal="85" workbookViewId="0">
      <selection activeCell="N15" sqref="N15"/>
    </sheetView>
  </sheetViews>
  <sheetFormatPr baseColWidth="10" defaultColWidth="14.42578125" defaultRowHeight="15" customHeight="1" x14ac:dyDescent="0.25"/>
  <cols>
    <col min="1" max="1" width="3" customWidth="1"/>
    <col min="2" max="2" width="10" customWidth="1"/>
    <col min="3" max="4" width="14" customWidth="1"/>
    <col min="5" max="6" width="16" customWidth="1"/>
    <col min="7" max="8" width="15" customWidth="1"/>
    <col min="9" max="9" width="9" hidden="1" customWidth="1"/>
    <col min="10" max="10" width="7.42578125" hidden="1" customWidth="1"/>
    <col min="11" max="11" width="6" hidden="1" customWidth="1"/>
    <col min="12" max="12" width="18.5703125" hidden="1" customWidth="1"/>
    <col min="13" max="31" width="8.7109375" customWidth="1"/>
  </cols>
  <sheetData>
    <row r="1" spans="2:13" ht="21" x14ac:dyDescent="0.25">
      <c r="B1" s="79" t="s">
        <v>88</v>
      </c>
      <c r="C1" s="75"/>
      <c r="D1" s="75"/>
      <c r="E1" s="75"/>
      <c r="F1" s="75"/>
      <c r="G1" s="75"/>
      <c r="H1" s="76"/>
    </row>
    <row r="2" spans="2:13" x14ac:dyDescent="0.25">
      <c r="B2" s="80" t="s">
        <v>89</v>
      </c>
      <c r="C2" s="75"/>
      <c r="D2" s="75"/>
      <c r="E2" s="75"/>
      <c r="F2" s="75"/>
      <c r="G2" s="75"/>
      <c r="H2" s="76"/>
    </row>
    <row r="3" spans="2:13" ht="30" customHeight="1" x14ac:dyDescent="0.25">
      <c r="B3" s="24" t="s">
        <v>90</v>
      </c>
      <c r="C3" s="24" t="s">
        <v>97</v>
      </c>
      <c r="D3" s="24" t="s">
        <v>91</v>
      </c>
      <c r="E3" s="25" t="s">
        <v>92</v>
      </c>
      <c r="F3" s="26" t="s">
        <v>93</v>
      </c>
      <c r="G3" s="27" t="s">
        <v>94</v>
      </c>
      <c r="H3" s="32" t="s">
        <v>95</v>
      </c>
      <c r="I3" s="33" t="s">
        <v>98</v>
      </c>
      <c r="J3" s="33" t="s">
        <v>99</v>
      </c>
      <c r="K3" s="33" t="s">
        <v>100</v>
      </c>
      <c r="L3" s="34" t="s">
        <v>101</v>
      </c>
    </row>
    <row r="4" spans="2:13" ht="21.75" customHeight="1" x14ac:dyDescent="0.25">
      <c r="B4" s="28">
        <v>1</v>
      </c>
      <c r="C4" s="28">
        <v>1</v>
      </c>
      <c r="D4" s="35">
        <v>46265</v>
      </c>
      <c r="E4" s="29">
        <f>IF($B4&gt;=25, 0, '⚙ Configuración'!$C$11 * (25 - $B4) / 24)</f>
        <v>76</v>
      </c>
      <c r="F4" s="15"/>
      <c r="G4" s="30">
        <f t="shared" ref="G4:G31" si="0">SUM($F$4:F4)</f>
        <v>0</v>
      </c>
      <c r="H4" s="36">
        <f>'⚙ Configuración'!$C$11-G4</f>
        <v>76</v>
      </c>
      <c r="I4" s="37"/>
      <c r="J4" s="38">
        <f>IF($B4&gt;=25, '⚙ Configuración'!$C$11, '⚙ Configuración'!$C$11 * ($B4 - 1) / 24)</f>
        <v>0</v>
      </c>
      <c r="K4" s="39">
        <v>0</v>
      </c>
      <c r="L4" s="39">
        <v>76</v>
      </c>
    </row>
    <row r="5" spans="2:13" ht="21.75" customHeight="1" x14ac:dyDescent="0.25">
      <c r="B5" s="28">
        <v>2</v>
      </c>
      <c r="C5" s="28">
        <v>1</v>
      </c>
      <c r="D5" s="35">
        <v>46268</v>
      </c>
      <c r="E5" s="29">
        <f>IF($B5&gt;=25, 0, '⚙ Configuración'!$C$11 * (25 - $B5) / 24)</f>
        <v>72.833333333333329</v>
      </c>
      <c r="F5" s="15"/>
      <c r="G5" s="30">
        <f t="shared" si="0"/>
        <v>0</v>
      </c>
      <c r="H5" s="36">
        <f>'⚙ Configuración'!$C$11-G5</f>
        <v>76</v>
      </c>
      <c r="I5" s="37"/>
      <c r="J5" s="38">
        <f>IF($B5&gt;=25, '⚙ Configuración'!$C$11, '⚙ Configuración'!$C$11 * ($B5 - 1) / 24)</f>
        <v>3.1666666666666665</v>
      </c>
      <c r="K5" s="39"/>
      <c r="L5" s="39"/>
    </row>
    <row r="6" spans="2:13" ht="21.75" customHeight="1" x14ac:dyDescent="0.25">
      <c r="B6" s="28">
        <v>3</v>
      </c>
      <c r="C6" s="28">
        <v>1</v>
      </c>
      <c r="D6" s="35">
        <v>46272</v>
      </c>
      <c r="E6" s="29">
        <f>IF($B6&gt;=25, 0, '⚙ Configuración'!$C$11 * (25 - $B6) / 24)</f>
        <v>69.666666666666671</v>
      </c>
      <c r="F6" s="15">
        <f>5</f>
        <v>5</v>
      </c>
      <c r="G6" s="30">
        <f t="shared" si="0"/>
        <v>5</v>
      </c>
      <c r="H6" s="36">
        <f>'⚙ Configuración'!$C$11-G6</f>
        <v>71</v>
      </c>
      <c r="I6" s="37"/>
      <c r="J6" s="38">
        <f>IF($B6&gt;=25, '⚙ Configuración'!$C$11, '⚙ Configuración'!$C$11 * ($B6 - 1) / 24)</f>
        <v>6.333333333333333</v>
      </c>
      <c r="K6" s="39"/>
      <c r="L6" s="39"/>
    </row>
    <row r="7" spans="2:13" ht="21.75" customHeight="1" x14ac:dyDescent="0.25">
      <c r="B7" s="28">
        <v>4</v>
      </c>
      <c r="C7" s="28">
        <v>1</v>
      </c>
      <c r="D7" s="35">
        <v>46275</v>
      </c>
      <c r="E7" s="29">
        <f>IF($B7&gt;=25, 0, '⚙ Configuración'!$C$11 * (25 - $B7) / 24)</f>
        <v>66.5</v>
      </c>
      <c r="F7" s="15">
        <f>3+3+2+3</f>
        <v>11</v>
      </c>
      <c r="G7" s="30">
        <f t="shared" si="0"/>
        <v>16</v>
      </c>
      <c r="H7" s="36">
        <f>'⚙ Configuración'!$C$11-G7</f>
        <v>60</v>
      </c>
      <c r="I7" s="37"/>
      <c r="J7" s="38">
        <f>IF($B7&gt;=25, '⚙ Configuración'!$C$11, '⚙ Configuración'!$C$11 * ($B7 - 1) / 24)</f>
        <v>9.5</v>
      </c>
      <c r="K7" s="39"/>
      <c r="L7" s="39"/>
      <c r="M7" s="31"/>
    </row>
    <row r="8" spans="2:13" ht="21.75" customHeight="1" x14ac:dyDescent="0.25">
      <c r="B8" s="28">
        <v>5</v>
      </c>
      <c r="C8" s="28">
        <v>1</v>
      </c>
      <c r="D8" s="35">
        <v>46279</v>
      </c>
      <c r="E8" s="29">
        <f>IF($B8&gt;=25, 0, '⚙ Configuración'!$C$11 * (25 - $B8) / 24)</f>
        <v>63.333333333333336</v>
      </c>
      <c r="F8" s="15"/>
      <c r="G8" s="30">
        <f t="shared" si="0"/>
        <v>16</v>
      </c>
      <c r="H8" s="36">
        <f>'⚙ Configuración'!$C$11-G8</f>
        <v>60</v>
      </c>
      <c r="I8" s="37"/>
      <c r="J8" s="38">
        <f>IF($B8&gt;=25, '⚙ Configuración'!$C$11, '⚙ Configuración'!$C$11 * ($B8 - 1) / 24)</f>
        <v>12.666666666666666</v>
      </c>
      <c r="K8" s="39"/>
      <c r="L8" s="39"/>
      <c r="M8" s="40" t="s">
        <v>102</v>
      </c>
    </row>
    <row r="9" spans="2:13" ht="21.75" customHeight="1" x14ac:dyDescent="0.25">
      <c r="B9" s="28">
        <v>6</v>
      </c>
      <c r="C9" s="28">
        <v>1</v>
      </c>
      <c r="D9" s="35">
        <v>46282</v>
      </c>
      <c r="E9" s="29">
        <f>IF($B9&gt;=25, 0, '⚙ Configuración'!$C$11 * (25 - $B9) / 24)</f>
        <v>60.166666666666664</v>
      </c>
      <c r="F9" s="15"/>
      <c r="G9" s="30">
        <f t="shared" si="0"/>
        <v>16</v>
      </c>
      <c r="H9" s="36">
        <f>'⚙ Configuración'!$C$11-G9</f>
        <v>60</v>
      </c>
      <c r="I9" s="37">
        <f>'⚙ Configuración'!$C$11</f>
        <v>76</v>
      </c>
      <c r="J9" s="38">
        <f>IF($B9&gt;=25, '⚙ Configuración'!$C$11, '⚙ Configuración'!$C$11 * ($B9 - 1) / 24)</f>
        <v>15.833333333333334</v>
      </c>
      <c r="K9" s="23">
        <v>13</v>
      </c>
      <c r="L9" s="39">
        <v>63</v>
      </c>
      <c r="M9" s="40" t="s">
        <v>102</v>
      </c>
    </row>
    <row r="10" spans="2:13" ht="21.75" customHeight="1" x14ac:dyDescent="0.25">
      <c r="B10" s="28">
        <v>7</v>
      </c>
      <c r="C10" s="28">
        <v>2</v>
      </c>
      <c r="D10" s="35">
        <v>46286</v>
      </c>
      <c r="E10" s="29">
        <f>IF($B10&gt;=25, 0, '⚙ Configuración'!$C$11 * (25 - $B10) / 24)</f>
        <v>57</v>
      </c>
      <c r="F10" s="15"/>
      <c r="G10" s="30">
        <f t="shared" si="0"/>
        <v>16</v>
      </c>
      <c r="H10" s="36">
        <f>'⚙ Configuración'!$C$11-G10</f>
        <v>60</v>
      </c>
      <c r="I10" s="37"/>
      <c r="J10" s="38">
        <f>IF($B10&gt;=25, '⚙ Configuración'!$C$11, '⚙ Configuración'!$C$11 * ($B10 - 1) / 24)</f>
        <v>19</v>
      </c>
      <c r="K10" s="39"/>
      <c r="L10" s="39"/>
      <c r="M10" s="31"/>
    </row>
    <row r="11" spans="2:13" ht="21.75" customHeight="1" x14ac:dyDescent="0.25">
      <c r="B11" s="28">
        <v>8</v>
      </c>
      <c r="C11" s="28">
        <v>2</v>
      </c>
      <c r="D11" s="35">
        <v>46289</v>
      </c>
      <c r="E11" s="29">
        <f>IF($B11&gt;=25, 0, '⚙ Configuración'!$C$11 * (25 - $B11) / 24)</f>
        <v>53.833333333333336</v>
      </c>
      <c r="F11" s="15"/>
      <c r="G11" s="30">
        <f t="shared" si="0"/>
        <v>16</v>
      </c>
      <c r="H11" s="36">
        <f>'⚙ Configuración'!$C$11-G11</f>
        <v>60</v>
      </c>
      <c r="I11" s="37"/>
      <c r="J11" s="38">
        <f>IF($B11&gt;=25, '⚙ Configuración'!$C$11, '⚙ Configuración'!$C$11 * ($B11 - 1) / 24)</f>
        <v>22.166666666666668</v>
      </c>
      <c r="K11" s="39"/>
      <c r="L11" s="39"/>
      <c r="M11" s="31"/>
    </row>
    <row r="12" spans="2:13" ht="21.75" customHeight="1" x14ac:dyDescent="0.25">
      <c r="B12" s="28">
        <v>9</v>
      </c>
      <c r="C12" s="28">
        <v>2</v>
      </c>
      <c r="D12" s="35">
        <v>46293</v>
      </c>
      <c r="E12" s="29">
        <f>IF($B12&gt;=25, 0, '⚙ Configuración'!$C$11 * (25 - $B12) / 24)</f>
        <v>50.666666666666664</v>
      </c>
      <c r="F12" s="15">
        <f>3+3+5</f>
        <v>11</v>
      </c>
      <c r="G12" s="30">
        <f t="shared" si="0"/>
        <v>27</v>
      </c>
      <c r="H12" s="36">
        <f>'⚙ Configuración'!$C$11-G12</f>
        <v>49</v>
      </c>
      <c r="I12" s="37"/>
      <c r="J12" s="38">
        <f>IF($B12&gt;=25, '⚙ Configuración'!$C$11, '⚙ Configuración'!$C$11 * ($B12 - 1) / 24)</f>
        <v>25.333333333333332</v>
      </c>
      <c r="K12" s="39"/>
      <c r="L12" s="39"/>
      <c r="M12" s="31"/>
    </row>
    <row r="13" spans="2:13" ht="21.75" customHeight="1" x14ac:dyDescent="0.25">
      <c r="B13" s="28">
        <v>10</v>
      </c>
      <c r="C13" s="28">
        <v>2</v>
      </c>
      <c r="D13" s="35">
        <v>46296</v>
      </c>
      <c r="E13" s="29">
        <f>IF($B13&gt;=25, 0, '⚙ Configuración'!$C$11 * (25 - $B13) / 24)</f>
        <v>47.5</v>
      </c>
      <c r="F13" s="15"/>
      <c r="G13" s="30">
        <f t="shared" si="0"/>
        <v>27</v>
      </c>
      <c r="H13" s="36">
        <f>'⚙ Configuración'!$C$11-G13</f>
        <v>49</v>
      </c>
      <c r="I13" s="37"/>
      <c r="J13" s="38">
        <f>IF($B13&gt;=25, '⚙ Configuración'!$C$11, '⚙ Configuración'!$C$11 * ($B13 - 1) / 24)</f>
        <v>28.5</v>
      </c>
      <c r="K13" s="39"/>
      <c r="L13" s="39"/>
      <c r="M13" s="31"/>
    </row>
    <row r="14" spans="2:13" ht="21.75" customHeight="1" x14ac:dyDescent="0.25">
      <c r="B14" s="28">
        <v>11</v>
      </c>
      <c r="C14" s="28">
        <v>2</v>
      </c>
      <c r="D14" s="35">
        <v>46300</v>
      </c>
      <c r="E14" s="29">
        <f>IF($B14&gt;=25, 0, '⚙ Configuración'!$C$11 * (25 - $B14) / 24)</f>
        <v>44.333333333333336</v>
      </c>
      <c r="F14" s="15">
        <f>2+3+3</f>
        <v>8</v>
      </c>
      <c r="G14" s="30">
        <f t="shared" si="0"/>
        <v>35</v>
      </c>
      <c r="H14" s="36">
        <f>'⚙ Configuración'!$C$11-G14</f>
        <v>41</v>
      </c>
      <c r="I14" s="37"/>
      <c r="J14" s="38">
        <f>IF($B14&gt;=25, '⚙ Configuración'!$C$11, '⚙ Configuración'!$C$11 * ($B14 - 1) / 24)</f>
        <v>31.666666666666668</v>
      </c>
      <c r="K14" s="39"/>
      <c r="L14" s="39"/>
      <c r="M14" s="31"/>
    </row>
    <row r="15" spans="2:13" ht="21.75" customHeight="1" x14ac:dyDescent="0.25">
      <c r="B15" s="28">
        <v>12</v>
      </c>
      <c r="C15" s="28">
        <v>2</v>
      </c>
      <c r="D15" s="35">
        <v>46303</v>
      </c>
      <c r="E15" s="29">
        <f>IF($B15&gt;=25, 0, '⚙ Configuración'!$C$11 * (25 - $B15) / 24)</f>
        <v>41.166666666666664</v>
      </c>
      <c r="F15" s="15">
        <f>3+2+2</f>
        <v>7</v>
      </c>
      <c r="G15" s="30">
        <f t="shared" si="0"/>
        <v>42</v>
      </c>
      <c r="H15" s="36">
        <f>'⚙ Configuración'!$C$11-G15</f>
        <v>34</v>
      </c>
      <c r="I15" s="37">
        <f>'⚙ Configuración'!$C$11</f>
        <v>76</v>
      </c>
      <c r="J15" s="38">
        <f>IF($B15&gt;=25, '⚙ Configuración'!$C$11, '⚙ Configuración'!$C$11 * ($B15 - 1) / 24)</f>
        <v>34.833333333333336</v>
      </c>
      <c r="K15" s="39">
        <v>42</v>
      </c>
      <c r="L15" s="39">
        <f>76-42</f>
        <v>34</v>
      </c>
      <c r="M15" s="31"/>
    </row>
    <row r="16" spans="2:13" ht="21.75" customHeight="1" x14ac:dyDescent="0.25">
      <c r="B16" s="28">
        <v>13</v>
      </c>
      <c r="C16" s="28">
        <v>3</v>
      </c>
      <c r="D16" s="35">
        <v>46307</v>
      </c>
      <c r="E16" s="29">
        <f>IF($B16&gt;=25, 0, '⚙ Configuración'!$C$11 * (25 - $B16) / 24)</f>
        <v>38</v>
      </c>
      <c r="F16" s="15"/>
      <c r="G16" s="30">
        <f t="shared" si="0"/>
        <v>42</v>
      </c>
      <c r="H16" s="36">
        <f>'⚙ Configuración'!$C$11-G16</f>
        <v>34</v>
      </c>
      <c r="I16" s="37"/>
      <c r="J16" s="38">
        <f>IF($B16&gt;=25, '⚙ Configuración'!$C$11, '⚙ Configuración'!$C$11 * ($B16 - 1) / 24)</f>
        <v>38</v>
      </c>
      <c r="K16" s="39"/>
      <c r="L16" s="39"/>
    </row>
    <row r="17" spans="2:12" ht="21.75" customHeight="1" x14ac:dyDescent="0.25">
      <c r="B17" s="28">
        <v>14</v>
      </c>
      <c r="C17" s="28">
        <v>3</v>
      </c>
      <c r="D17" s="35">
        <v>46310</v>
      </c>
      <c r="E17" s="29">
        <f>IF($B17&gt;=25, 0, '⚙ Configuración'!$C$11 * (25 - $B17) / 24)</f>
        <v>34.833333333333336</v>
      </c>
      <c r="F17" s="15"/>
      <c r="G17" s="30">
        <f t="shared" si="0"/>
        <v>42</v>
      </c>
      <c r="H17" s="36">
        <f>'⚙ Configuración'!$C$11-G17</f>
        <v>34</v>
      </c>
      <c r="I17" s="37"/>
      <c r="J17" s="38">
        <f>IF($B17&gt;=25, '⚙ Configuración'!$C$11, '⚙ Configuración'!$C$11 * ($B17 - 1) / 24)</f>
        <v>41.166666666666664</v>
      </c>
      <c r="K17" s="39"/>
      <c r="L17" s="39"/>
    </row>
    <row r="18" spans="2:12" ht="21.75" customHeight="1" x14ac:dyDescent="0.25">
      <c r="B18" s="28">
        <v>15</v>
      </c>
      <c r="C18" s="28">
        <v>3</v>
      </c>
      <c r="D18" s="35">
        <v>46314</v>
      </c>
      <c r="E18" s="29">
        <f>IF($B18&gt;=25, 0, '⚙ Configuración'!$C$11 * (25 - $B18) / 24)</f>
        <v>31.666666666666668</v>
      </c>
      <c r="F18" s="15"/>
      <c r="G18" s="30">
        <f t="shared" si="0"/>
        <v>42</v>
      </c>
      <c r="H18" s="36">
        <f>'⚙ Configuración'!$C$11-G18</f>
        <v>34</v>
      </c>
      <c r="I18" s="37"/>
      <c r="J18" s="38">
        <f>IF($B18&gt;=25, '⚙ Configuración'!$C$11, '⚙ Configuración'!$C$11 * ($B18 - 1) / 24)</f>
        <v>44.333333333333336</v>
      </c>
      <c r="K18" s="39"/>
      <c r="L18" s="39"/>
    </row>
    <row r="19" spans="2:12" ht="21.75" customHeight="1" x14ac:dyDescent="0.25">
      <c r="B19" s="28">
        <v>16</v>
      </c>
      <c r="C19" s="28">
        <v>3</v>
      </c>
      <c r="D19" s="35">
        <v>46317</v>
      </c>
      <c r="E19" s="29">
        <f>IF($B19&gt;=25, 0, '⚙ Configuración'!$C$11 * (25 - $B19) / 24)</f>
        <v>28.5</v>
      </c>
      <c r="F19" s="15"/>
      <c r="G19" s="30">
        <f t="shared" si="0"/>
        <v>42</v>
      </c>
      <c r="H19" s="36">
        <f>'⚙ Configuración'!$C$11-G19</f>
        <v>34</v>
      </c>
      <c r="I19" s="37"/>
      <c r="J19" s="38">
        <f>IF($B19&gt;=25, '⚙ Configuración'!$C$11, '⚙ Configuración'!$C$11 * ($B19 - 1) / 24)</f>
        <v>47.5</v>
      </c>
      <c r="K19" s="39"/>
      <c r="L19" s="39"/>
    </row>
    <row r="20" spans="2:12" ht="21.75" customHeight="1" x14ac:dyDescent="0.25">
      <c r="B20" s="28">
        <v>17</v>
      </c>
      <c r="C20" s="28">
        <v>3</v>
      </c>
      <c r="D20" s="35">
        <v>46321</v>
      </c>
      <c r="E20" s="29">
        <f>IF($B20&gt;=25, 0, '⚙ Configuración'!$C$11 * (25 - $B20) / 24)</f>
        <v>25.333333333333332</v>
      </c>
      <c r="F20" s="15"/>
      <c r="G20" s="30">
        <f t="shared" si="0"/>
        <v>42</v>
      </c>
      <c r="H20" s="36">
        <f>'⚙ Configuración'!$C$11-G20</f>
        <v>34</v>
      </c>
      <c r="I20" s="37"/>
      <c r="J20" s="38">
        <f>IF($B20&gt;=25, '⚙ Configuración'!$C$11, '⚙ Configuración'!$C$11 * ($B20 - 1) / 24)</f>
        <v>50.666666666666664</v>
      </c>
      <c r="K20" s="39"/>
      <c r="L20" s="39"/>
    </row>
    <row r="21" spans="2:12" ht="21.75" customHeight="1" x14ac:dyDescent="0.25">
      <c r="B21" s="28">
        <v>18</v>
      </c>
      <c r="C21" s="28">
        <v>3</v>
      </c>
      <c r="D21" s="35">
        <v>46324</v>
      </c>
      <c r="E21" s="29">
        <f>IF($B21&gt;=25, 0, '⚙ Configuración'!$C$11 * (25 - $B21) / 24)</f>
        <v>22.166666666666668</v>
      </c>
      <c r="F21" s="15"/>
      <c r="G21" s="30">
        <f t="shared" si="0"/>
        <v>42</v>
      </c>
      <c r="H21" s="36">
        <f>'⚙ Configuración'!$C$11-G21</f>
        <v>34</v>
      </c>
      <c r="I21" s="37">
        <f>'⚙ Configuración'!$C$11</f>
        <v>76</v>
      </c>
      <c r="J21" s="38">
        <f>IF($B21&gt;=25, '⚙ Configuración'!$C$11, '⚙ Configuración'!$C$11 * ($B21 - 1) / 24)</f>
        <v>53.833333333333336</v>
      </c>
      <c r="K21" s="39">
        <v>63</v>
      </c>
      <c r="L21" s="23">
        <f>76-63</f>
        <v>13</v>
      </c>
    </row>
    <row r="22" spans="2:12" ht="21.75" customHeight="1" x14ac:dyDescent="0.25">
      <c r="B22" s="28">
        <v>19</v>
      </c>
      <c r="C22" s="28">
        <v>4</v>
      </c>
      <c r="D22" s="35">
        <v>46328</v>
      </c>
      <c r="E22" s="29">
        <f>IF($B22&gt;=25, 0, '⚙ Configuración'!$C$11 * (25 - $B22) / 24)</f>
        <v>19</v>
      </c>
      <c r="F22" s="15"/>
      <c r="G22" s="30">
        <f t="shared" si="0"/>
        <v>42</v>
      </c>
      <c r="H22" s="36">
        <f>'⚙ Configuración'!$C$11-G22</f>
        <v>34</v>
      </c>
      <c r="I22" s="37"/>
      <c r="J22" s="38">
        <f>IF($B22&gt;=25, '⚙ Configuración'!$C$11, '⚙ Configuración'!$C$11 * ($B22 - 1) / 24)</f>
        <v>57</v>
      </c>
      <c r="K22" s="39"/>
      <c r="L22" s="39"/>
    </row>
    <row r="23" spans="2:12" ht="21.75" customHeight="1" x14ac:dyDescent="0.25">
      <c r="B23" s="28">
        <v>20</v>
      </c>
      <c r="C23" s="28">
        <v>4</v>
      </c>
      <c r="D23" s="35">
        <v>46331</v>
      </c>
      <c r="E23" s="29">
        <f>IF($B23&gt;=25, 0, '⚙ Configuración'!$C$11 * (25 - $B23) / 24)</f>
        <v>15.833333333333334</v>
      </c>
      <c r="F23" s="15"/>
      <c r="G23" s="30">
        <f t="shared" si="0"/>
        <v>42</v>
      </c>
      <c r="H23" s="36">
        <f>'⚙ Configuración'!$C$11-G23</f>
        <v>34</v>
      </c>
      <c r="I23" s="37"/>
      <c r="J23" s="38">
        <f>IF($B23&gt;=25, '⚙ Configuración'!$C$11, '⚙ Configuración'!$C$11 * ($B23 - 1) / 24)</f>
        <v>60.166666666666664</v>
      </c>
      <c r="K23" s="39"/>
      <c r="L23" s="39"/>
    </row>
    <row r="24" spans="2:12" ht="21.75" customHeight="1" x14ac:dyDescent="0.25">
      <c r="B24" s="28">
        <v>21</v>
      </c>
      <c r="C24" s="28">
        <v>4</v>
      </c>
      <c r="D24" s="35">
        <v>46335</v>
      </c>
      <c r="E24" s="29">
        <f>IF($B24&gt;=25, 0, '⚙ Configuración'!$C$11 * (25 - $B24) / 24)</f>
        <v>12.666666666666666</v>
      </c>
      <c r="F24" s="15"/>
      <c r="G24" s="30">
        <f t="shared" si="0"/>
        <v>42</v>
      </c>
      <c r="H24" s="36">
        <f>'⚙ Configuración'!$C$11-G24</f>
        <v>34</v>
      </c>
      <c r="I24" s="37"/>
      <c r="J24" s="38">
        <f>IF($B24&gt;=25, '⚙ Configuración'!$C$11, '⚙ Configuración'!$C$11 * ($B24 - 1) / 24)</f>
        <v>63.333333333333336</v>
      </c>
      <c r="K24" s="39"/>
      <c r="L24" s="39"/>
    </row>
    <row r="25" spans="2:12" ht="21.75" customHeight="1" x14ac:dyDescent="0.25">
      <c r="B25" s="28">
        <v>22</v>
      </c>
      <c r="C25" s="28">
        <v>4</v>
      </c>
      <c r="D25" s="35">
        <v>46338</v>
      </c>
      <c r="E25" s="29">
        <f>IF($B25&gt;=25, 0, '⚙ Configuración'!$C$11 * (25 - $B25) / 24)</f>
        <v>9.5</v>
      </c>
      <c r="F25" s="15"/>
      <c r="G25" s="30">
        <f t="shared" si="0"/>
        <v>42</v>
      </c>
      <c r="H25" s="36">
        <f>'⚙ Configuración'!$C$11-G25</f>
        <v>34</v>
      </c>
      <c r="I25" s="37"/>
      <c r="J25" s="38">
        <f>IF($B25&gt;=25, '⚙ Configuración'!$C$11, '⚙ Configuración'!$C$11 * ($B25 - 1) / 24)</f>
        <v>66.5</v>
      </c>
      <c r="K25" s="39"/>
      <c r="L25" s="39"/>
    </row>
    <row r="26" spans="2:12" ht="21.75" customHeight="1" x14ac:dyDescent="0.25">
      <c r="B26" s="28">
        <v>23</v>
      </c>
      <c r="C26" s="28">
        <v>4</v>
      </c>
      <c r="D26" s="35">
        <v>46335</v>
      </c>
      <c r="E26" s="29">
        <f>IF($B26&gt;=25, 0, '⚙ Configuración'!$C$11 * (25 - $B26) / 24)</f>
        <v>6.333333333333333</v>
      </c>
      <c r="F26" s="15"/>
      <c r="G26" s="30">
        <f t="shared" si="0"/>
        <v>42</v>
      </c>
      <c r="H26" s="36">
        <f>'⚙ Configuración'!$C$11-G26</f>
        <v>34</v>
      </c>
      <c r="I26" s="37"/>
      <c r="J26" s="38">
        <f>IF($B26&gt;=25, '⚙ Configuración'!$C$11, '⚙ Configuración'!$C$11 * ($B26 - 1) / 24)</f>
        <v>69.666666666666671</v>
      </c>
      <c r="K26" s="39"/>
      <c r="L26" s="39"/>
    </row>
    <row r="27" spans="2:12" ht="21.75" customHeight="1" x14ac:dyDescent="0.25">
      <c r="B27" s="28">
        <v>24</v>
      </c>
      <c r="C27" s="28">
        <v>4</v>
      </c>
      <c r="D27" s="35">
        <v>46342</v>
      </c>
      <c r="E27" s="29">
        <f>IF($B27&gt;=25, 0, '⚙ Configuración'!$C$11 * (25 - $B27) / 24)</f>
        <v>3.1666666666666665</v>
      </c>
      <c r="F27" s="15"/>
      <c r="G27" s="30">
        <f t="shared" si="0"/>
        <v>42</v>
      </c>
      <c r="H27" s="36">
        <f>'⚙ Configuración'!$C$11-G27</f>
        <v>34</v>
      </c>
      <c r="I27" s="37"/>
      <c r="J27" s="38">
        <f>IF($B27&gt;=25, '⚙ Configuración'!$C$11, '⚙ Configuración'!$C$11 * ($B27 - 1) / 24)</f>
        <v>72.833333333333329</v>
      </c>
      <c r="K27" s="39"/>
      <c r="L27" s="39"/>
    </row>
    <row r="28" spans="2:12" ht="21.75" customHeight="1" x14ac:dyDescent="0.25">
      <c r="B28" s="28">
        <v>25</v>
      </c>
      <c r="C28" s="28">
        <v>4</v>
      </c>
      <c r="D28" s="50">
        <v>46345</v>
      </c>
      <c r="E28" s="29">
        <f>IF($B28&gt;=25, 0, '⚙ Configuración'!$C$11 * (25 - $B28) / 24)</f>
        <v>0</v>
      </c>
      <c r="F28" s="15"/>
      <c r="G28" s="30">
        <f t="shared" si="0"/>
        <v>42</v>
      </c>
      <c r="H28" s="36">
        <f>'⚙ Configuración'!$C$11-G28</f>
        <v>34</v>
      </c>
      <c r="I28" s="37">
        <f>'⚙ Configuración'!$C$11</f>
        <v>76</v>
      </c>
      <c r="J28" s="38">
        <f>IF($B28&gt;=25, '⚙ Configuración'!$C$11, '⚙ Configuración'!$C$11 * ($B28 - 1) / 24)</f>
        <v>76</v>
      </c>
      <c r="K28" s="39">
        <f>'⚙ Configuración'!$C$11</f>
        <v>76</v>
      </c>
      <c r="L28" s="39">
        <v>0</v>
      </c>
    </row>
    <row r="29" spans="2:12" ht="21.75" customHeight="1" x14ac:dyDescent="0.25">
      <c r="B29" s="28">
        <v>26</v>
      </c>
      <c r="C29" s="28">
        <v>5</v>
      </c>
      <c r="D29" s="50">
        <v>46349</v>
      </c>
      <c r="E29" s="29">
        <f>IF($B29&gt;=25, 0, '⚙ Configuración'!$C$11 * (25 - $B29) / 24)</f>
        <v>0</v>
      </c>
      <c r="F29" s="15"/>
      <c r="G29" s="30">
        <f t="shared" si="0"/>
        <v>42</v>
      </c>
      <c r="H29" s="36">
        <f>'⚙ Configuración'!$C$11-G29</f>
        <v>34</v>
      </c>
      <c r="I29" s="37"/>
      <c r="J29" s="38">
        <f>IF($B29&gt;=25, '⚙ Configuración'!$C$11, '⚙ Configuración'!$C$11 * ($B29 - 1) / 24)</f>
        <v>76</v>
      </c>
      <c r="K29" s="39"/>
      <c r="L29" s="39"/>
    </row>
    <row r="30" spans="2:12" ht="21.75" customHeight="1" x14ac:dyDescent="0.25">
      <c r="B30" s="28">
        <v>27</v>
      </c>
      <c r="C30" s="28">
        <v>5</v>
      </c>
      <c r="D30" s="50">
        <v>46352</v>
      </c>
      <c r="E30" s="29">
        <f>IF($B30&gt;=25, 0, '⚙ Configuración'!$C$11 * (25 - $B30) / 24)</f>
        <v>0</v>
      </c>
      <c r="F30" s="15"/>
      <c r="G30" s="30">
        <f t="shared" si="0"/>
        <v>42</v>
      </c>
      <c r="H30" s="36">
        <f>'⚙ Configuración'!$C$11-G30</f>
        <v>34</v>
      </c>
      <c r="I30" s="37"/>
      <c r="J30" s="38">
        <f>IF($B30&gt;=25, '⚙ Configuración'!$C$11, '⚙ Configuración'!$C$11 * ($B30 - 1) / 24)</f>
        <v>76</v>
      </c>
      <c r="K30" s="39"/>
      <c r="L30" s="39"/>
    </row>
    <row r="31" spans="2:12" ht="21.75" customHeight="1" x14ac:dyDescent="0.25">
      <c r="B31" s="28">
        <v>28</v>
      </c>
      <c r="C31" s="28">
        <v>5</v>
      </c>
      <c r="D31" s="50">
        <v>46356</v>
      </c>
      <c r="E31" s="29">
        <f>IF($B31&gt;=25, 0, '⚙ Configuración'!$C$11 * (25 - $B31) / 24)</f>
        <v>0</v>
      </c>
      <c r="F31" s="15"/>
      <c r="G31" s="30">
        <f t="shared" si="0"/>
        <v>42</v>
      </c>
      <c r="H31" s="36">
        <f>'⚙ Configuración'!$C$11-G31</f>
        <v>34</v>
      </c>
      <c r="I31" s="37">
        <f>'⚙ Configuración'!$C$11</f>
        <v>76</v>
      </c>
      <c r="J31" s="38">
        <f>IF($B31&gt;=25, '⚙ Configuración'!$C$11, '⚙ Configuración'!$C$11 * ($B31 - 1) / 24)</f>
        <v>76</v>
      </c>
      <c r="K31" s="39"/>
      <c r="L31" s="39"/>
    </row>
    <row r="32" spans="2:12" ht="15.75" customHeight="1" x14ac:dyDescent="0.25"/>
    <row r="33" spans="2:8" x14ac:dyDescent="0.25">
      <c r="B33" s="55"/>
      <c r="C33" s="55"/>
      <c r="D33" s="55"/>
      <c r="E33" s="55"/>
    </row>
    <row r="34" spans="2:8" ht="15.75" customHeight="1" x14ac:dyDescent="0.25">
      <c r="B34" s="23" t="s">
        <v>178</v>
      </c>
      <c r="C34" s="23" t="s">
        <v>100</v>
      </c>
      <c r="D34" s="23" t="s">
        <v>179</v>
      </c>
      <c r="E34" s="23"/>
    </row>
    <row r="35" spans="2:8" ht="15.75" customHeight="1" x14ac:dyDescent="0.25">
      <c r="B35" s="23">
        <v>1</v>
      </c>
      <c r="C35" s="23">
        <v>13</v>
      </c>
      <c r="D35" s="23">
        <f>C35</f>
        <v>13</v>
      </c>
      <c r="E35" s="23"/>
    </row>
    <row r="36" spans="2:8" ht="15.75" customHeight="1" x14ac:dyDescent="0.25">
      <c r="B36" s="23">
        <v>2</v>
      </c>
      <c r="C36" s="23">
        <v>29</v>
      </c>
      <c r="D36" s="23">
        <f>C36+D35</f>
        <v>42</v>
      </c>
      <c r="E36" s="23"/>
    </row>
    <row r="37" spans="2:8" ht="15.75" customHeight="1" x14ac:dyDescent="0.25">
      <c r="B37" s="23">
        <v>3</v>
      </c>
      <c r="C37" s="23">
        <v>21</v>
      </c>
      <c r="D37" s="23">
        <f t="shared" ref="D37:D38" si="1">C37+D36</f>
        <v>63</v>
      </c>
      <c r="E37" s="23"/>
      <c r="H37" s="67"/>
    </row>
    <row r="38" spans="2:8" ht="15.75" customHeight="1" x14ac:dyDescent="0.25">
      <c r="B38" s="71">
        <v>4</v>
      </c>
      <c r="C38" s="71">
        <v>13</v>
      </c>
      <c r="D38" s="23">
        <f t="shared" si="1"/>
        <v>76</v>
      </c>
    </row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">
    <mergeCell ref="B1:H1"/>
    <mergeCell ref="B2:H2"/>
  </mergeCells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00"/>
  <sheetViews>
    <sheetView showGridLines="0" workbookViewId="0">
      <selection activeCell="C21" sqref="C21"/>
    </sheetView>
  </sheetViews>
  <sheetFormatPr baseColWidth="10" defaultColWidth="14.42578125" defaultRowHeight="15" customHeight="1" x14ac:dyDescent="0.25"/>
  <cols>
    <col min="1" max="1" width="3" customWidth="1"/>
    <col min="2" max="2" width="36.7109375" customWidth="1"/>
    <col min="3" max="3" width="18" bestFit="1" customWidth="1"/>
    <col min="4" max="4" width="56.140625" customWidth="1"/>
    <col min="5" max="5" width="20" customWidth="1"/>
    <col min="6" max="6" width="3" customWidth="1"/>
    <col min="7" max="26" width="8.7109375" customWidth="1"/>
  </cols>
  <sheetData>
    <row r="1" spans="2:5" ht="21" x14ac:dyDescent="0.25">
      <c r="B1" s="79" t="s">
        <v>103</v>
      </c>
      <c r="C1" s="75"/>
      <c r="D1" s="75"/>
      <c r="E1" s="76"/>
    </row>
    <row r="2" spans="2:5" x14ac:dyDescent="0.25">
      <c r="B2" s="80" t="s">
        <v>104</v>
      </c>
      <c r="C2" s="75"/>
      <c r="D2" s="75"/>
      <c r="E2" s="76"/>
    </row>
    <row r="3" spans="2:5" x14ac:dyDescent="0.25">
      <c r="B3" s="81" t="s">
        <v>105</v>
      </c>
      <c r="C3" s="75"/>
      <c r="D3" s="75"/>
      <c r="E3" s="76"/>
    </row>
    <row r="4" spans="2:5" ht="15.75" x14ac:dyDescent="0.25">
      <c r="B4" s="41" t="s">
        <v>106</v>
      </c>
      <c r="C4" s="42">
        <f>'📋 Sprint Backlog'!F28</f>
        <v>76</v>
      </c>
      <c r="D4" s="43" t="s">
        <v>107</v>
      </c>
      <c r="E4" s="44"/>
    </row>
    <row r="5" spans="2:5" ht="15.75" x14ac:dyDescent="0.25">
      <c r="B5" s="1" t="s">
        <v>108</v>
      </c>
      <c r="C5" s="42">
        <f>'📋 Sprint Backlog'!G28</f>
        <v>42</v>
      </c>
      <c r="D5" s="3" t="s">
        <v>109</v>
      </c>
      <c r="E5" s="45"/>
    </row>
    <row r="6" spans="2:5" ht="15.75" x14ac:dyDescent="0.25">
      <c r="B6" s="41" t="s">
        <v>110</v>
      </c>
      <c r="C6" s="42">
        <f>'📋 Sprint Backlog'!F28-'📋 Sprint Backlog'!G28</f>
        <v>34</v>
      </c>
      <c r="D6" s="43" t="s">
        <v>111</v>
      </c>
      <c r="E6" s="44"/>
    </row>
    <row r="7" spans="2:5" ht="15.75" x14ac:dyDescent="0.25">
      <c r="B7" s="1" t="s">
        <v>112</v>
      </c>
      <c r="C7" s="46">
        <f>IFERROR('📋 Sprint Backlog'!G28/'📋 Sprint Backlog'!F28,0)</f>
        <v>0.55263157894736847</v>
      </c>
      <c r="D7" s="3" t="s">
        <v>113</v>
      </c>
      <c r="E7" s="45"/>
    </row>
    <row r="8" spans="2:5" ht="15.75" x14ac:dyDescent="0.25">
      <c r="B8" s="41" t="s">
        <v>114</v>
      </c>
      <c r="C8" s="42">
        <f>COUNTIF('📋 Sprint Backlog'!H4:H27,"Done")</f>
        <v>14</v>
      </c>
      <c r="D8" s="43" t="s">
        <v>115</v>
      </c>
      <c r="E8" s="44"/>
    </row>
    <row r="9" spans="2:5" ht="15.75" x14ac:dyDescent="0.25">
      <c r="B9" s="1" t="s">
        <v>116</v>
      </c>
      <c r="C9" s="42">
        <f>COUNTIF('📋 Sprint Backlog'!H4:H27,"To Do")</f>
        <v>10</v>
      </c>
      <c r="D9" s="3" t="s">
        <v>117</v>
      </c>
      <c r="E9" s="45"/>
    </row>
    <row r="10" spans="2:5" x14ac:dyDescent="0.25">
      <c r="B10" s="82" t="s">
        <v>118</v>
      </c>
      <c r="C10" s="75"/>
      <c r="D10" s="75"/>
      <c r="E10" s="76"/>
    </row>
    <row r="11" spans="2:5" ht="15.75" x14ac:dyDescent="0.25">
      <c r="B11" s="1" t="s">
        <v>119</v>
      </c>
      <c r="C11" s="42">
        <v>26</v>
      </c>
      <c r="D11" s="3" t="s">
        <v>120</v>
      </c>
      <c r="E11" s="45"/>
    </row>
    <row r="12" spans="2:5" ht="15.75" x14ac:dyDescent="0.25">
      <c r="B12" s="41" t="s">
        <v>14</v>
      </c>
      <c r="C12" s="42">
        <f>'⚙ Configuración'!C12</f>
        <v>16</v>
      </c>
      <c r="D12" s="43" t="s">
        <v>121</v>
      </c>
      <c r="E12" s="44"/>
    </row>
    <row r="13" spans="2:5" ht="15.75" x14ac:dyDescent="0.25">
      <c r="B13" s="1" t="s">
        <v>122</v>
      </c>
      <c r="C13" s="47">
        <f>C11-'⚙ Configuración'!C12</f>
        <v>10</v>
      </c>
      <c r="D13" s="3" t="s">
        <v>123</v>
      </c>
      <c r="E13" s="45"/>
    </row>
    <row r="14" spans="2:5" ht="15.75" x14ac:dyDescent="0.25">
      <c r="B14" s="41" t="s">
        <v>124</v>
      </c>
      <c r="C14" s="48">
        <f>IFERROR(C11/'⚙ Configuración'!C13,0)</f>
        <v>5.2</v>
      </c>
      <c r="D14" s="43" t="s">
        <v>125</v>
      </c>
      <c r="E14" s="44"/>
    </row>
    <row r="15" spans="2:5" ht="15.75" x14ac:dyDescent="0.25">
      <c r="B15" s="1" t="s">
        <v>126</v>
      </c>
      <c r="C15" s="49">
        <f>IFERROR(C11/('⚙ Configuración'!C13*'⚙ Configuración'!C9),0)</f>
        <v>0.8666666666666667</v>
      </c>
      <c r="D15" s="3" t="s">
        <v>127</v>
      </c>
      <c r="E15" s="45"/>
    </row>
    <row r="16" spans="2:5" x14ac:dyDescent="0.25">
      <c r="B16" s="83" t="s">
        <v>128</v>
      </c>
      <c r="C16" s="75"/>
      <c r="D16" s="75"/>
      <c r="E16" s="76"/>
    </row>
    <row r="17" spans="2:5" ht="15.75" x14ac:dyDescent="0.25">
      <c r="B17" s="1" t="s">
        <v>129</v>
      </c>
      <c r="C17" s="42">
        <v>6</v>
      </c>
      <c r="D17" s="3" t="s">
        <v>130</v>
      </c>
      <c r="E17" s="45"/>
    </row>
    <row r="18" spans="2:5" ht="15.75" x14ac:dyDescent="0.25">
      <c r="B18" s="41" t="s">
        <v>131</v>
      </c>
      <c r="C18" s="42">
        <v>0</v>
      </c>
      <c r="D18" s="43" t="s">
        <v>132</v>
      </c>
      <c r="E18" s="44"/>
    </row>
    <row r="19" spans="2:5" ht="15.75" x14ac:dyDescent="0.25">
      <c r="B19" s="1" t="s">
        <v>133</v>
      </c>
      <c r="C19" s="48" t="str">
        <f>IF(C18&lt;=0,"Sprint terminado",('📋 Sprint Backlog'!F28-'📋 Sprint Backlog'!G28)/C18)</f>
        <v>Sprint terminado</v>
      </c>
      <c r="D19" s="3" t="s">
        <v>134</v>
      </c>
      <c r="E19" s="45"/>
    </row>
    <row r="20" spans="2:5" ht="15.75" x14ac:dyDescent="0.25">
      <c r="B20" s="41" t="s">
        <v>135</v>
      </c>
      <c r="C20" s="48">
        <f>IF(C17=0,0,'⚙ Configuración'!C10/C17)</f>
        <v>4.833333333333333</v>
      </c>
      <c r="D20" s="43" t="s">
        <v>136</v>
      </c>
      <c r="E20" s="44"/>
    </row>
    <row r="21" spans="2:5" ht="15.75" customHeight="1" x14ac:dyDescent="0.25">
      <c r="B21" s="1" t="s">
        <v>137</v>
      </c>
      <c r="C21" s="49">
        <f>IF(C17=0,1,C20/IFERROR(('⚙ Configuración'!C10/'⚙ Configuración'!C9),1))</f>
        <v>1</v>
      </c>
      <c r="D21" s="3" t="s">
        <v>138</v>
      </c>
      <c r="E21" s="45"/>
    </row>
    <row r="22" spans="2:5" ht="15.75" customHeight="1" x14ac:dyDescent="0.25">
      <c r="B22" s="84" t="s">
        <v>139</v>
      </c>
      <c r="C22" s="75"/>
      <c r="D22" s="75"/>
      <c r="E22" s="76"/>
    </row>
    <row r="23" spans="2:5" ht="15.75" customHeight="1" x14ac:dyDescent="0.25">
      <c r="B23" s="51" t="s">
        <v>140</v>
      </c>
      <c r="C23" s="85" t="s">
        <v>141</v>
      </c>
      <c r="D23" s="75"/>
      <c r="E23" s="76"/>
    </row>
    <row r="24" spans="2:5" ht="15.75" customHeight="1" x14ac:dyDescent="0.25">
      <c r="B24" s="52" t="s">
        <v>142</v>
      </c>
      <c r="C24" s="74" t="s">
        <v>143</v>
      </c>
      <c r="D24" s="75"/>
      <c r="E24" s="76"/>
    </row>
    <row r="25" spans="2:5" ht="15.75" customHeight="1" x14ac:dyDescent="0.25">
      <c r="B25" s="53" t="s">
        <v>144</v>
      </c>
      <c r="C25" s="77" t="s">
        <v>145</v>
      </c>
      <c r="D25" s="75"/>
      <c r="E25" s="76"/>
    </row>
    <row r="26" spans="2:5" ht="15.75" customHeight="1" x14ac:dyDescent="0.25">
      <c r="B26" s="54" t="s">
        <v>146</v>
      </c>
      <c r="C26" s="78" t="s">
        <v>147</v>
      </c>
      <c r="D26" s="75"/>
      <c r="E26" s="76"/>
    </row>
    <row r="27" spans="2:5" ht="15.75" customHeight="1" x14ac:dyDescent="0.25"/>
    <row r="28" spans="2:5" ht="15.75" customHeight="1" x14ac:dyDescent="0.25"/>
    <row r="29" spans="2:5" ht="15.75" customHeight="1" x14ac:dyDescent="0.25"/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E1000"/>
  <sheetViews>
    <sheetView showGridLines="0" workbookViewId="0">
      <selection activeCell="C15" sqref="C15:E15"/>
    </sheetView>
  </sheetViews>
  <sheetFormatPr baseColWidth="10" defaultColWidth="14.42578125" defaultRowHeight="15" customHeight="1" x14ac:dyDescent="0.25"/>
  <cols>
    <col min="1" max="2" width="3" customWidth="1"/>
    <col min="3" max="3" width="75.28515625" customWidth="1"/>
    <col min="4" max="4" width="22" customWidth="1"/>
    <col min="5" max="5" width="22.140625" customWidth="1"/>
    <col min="6" max="6" width="3" customWidth="1"/>
    <col min="7" max="26" width="8.7109375" customWidth="1"/>
  </cols>
  <sheetData>
    <row r="1" spans="3:5" ht="21" x14ac:dyDescent="0.25">
      <c r="C1" s="79" t="s">
        <v>148</v>
      </c>
      <c r="D1" s="75"/>
      <c r="E1" s="76"/>
    </row>
    <row r="2" spans="3:5" x14ac:dyDescent="0.25">
      <c r="C2" s="99" t="s">
        <v>172</v>
      </c>
      <c r="D2" s="75"/>
      <c r="E2" s="76"/>
    </row>
    <row r="3" spans="3:5" ht="15.75" x14ac:dyDescent="0.25">
      <c r="C3" s="100" t="s">
        <v>149</v>
      </c>
      <c r="D3" s="75"/>
      <c r="E3" s="76"/>
    </row>
    <row r="4" spans="3:5" x14ac:dyDescent="0.25">
      <c r="C4" s="85" t="s">
        <v>150</v>
      </c>
      <c r="D4" s="75"/>
      <c r="E4" s="76"/>
    </row>
    <row r="5" spans="3:5" x14ac:dyDescent="0.25">
      <c r="C5" s="85" t="s">
        <v>176</v>
      </c>
      <c r="D5" s="75"/>
      <c r="E5" s="76"/>
    </row>
    <row r="6" spans="3:5" x14ac:dyDescent="0.25">
      <c r="C6" s="85"/>
      <c r="D6" s="75"/>
      <c r="E6" s="76"/>
    </row>
    <row r="8" spans="3:5" ht="15.75" x14ac:dyDescent="0.25">
      <c r="C8" s="101" t="s">
        <v>151</v>
      </c>
      <c r="D8" s="75"/>
      <c r="E8" s="76"/>
    </row>
    <row r="9" spans="3:5" x14ac:dyDescent="0.25">
      <c r="C9" s="102" t="s">
        <v>173</v>
      </c>
      <c r="D9" s="75"/>
      <c r="E9" s="76"/>
    </row>
    <row r="10" spans="3:5" x14ac:dyDescent="0.25">
      <c r="C10" s="102" t="s">
        <v>175</v>
      </c>
      <c r="D10" s="75"/>
      <c r="E10" s="76"/>
    </row>
    <row r="11" spans="3:5" x14ac:dyDescent="0.25">
      <c r="C11" s="78"/>
      <c r="D11" s="75"/>
      <c r="E11" s="76"/>
    </row>
    <row r="13" spans="3:5" ht="15.75" x14ac:dyDescent="0.25">
      <c r="C13" s="103" t="s">
        <v>152</v>
      </c>
      <c r="D13" s="75"/>
      <c r="E13" s="76"/>
    </row>
    <row r="14" spans="3:5" x14ac:dyDescent="0.25">
      <c r="C14" s="97" t="s">
        <v>177</v>
      </c>
      <c r="D14" s="75"/>
      <c r="E14" s="76"/>
    </row>
    <row r="15" spans="3:5" x14ac:dyDescent="0.25">
      <c r="C15" s="97" t="s">
        <v>174</v>
      </c>
      <c r="D15" s="75"/>
      <c r="E15" s="76"/>
    </row>
    <row r="16" spans="3:5" x14ac:dyDescent="0.25">
      <c r="C16" s="74"/>
      <c r="D16" s="75"/>
      <c r="E16" s="76"/>
    </row>
    <row r="18" spans="3:5" ht="15.75" x14ac:dyDescent="0.25">
      <c r="C18" s="98" t="s">
        <v>153</v>
      </c>
      <c r="D18" s="75"/>
      <c r="E18" s="76"/>
    </row>
    <row r="19" spans="3:5" x14ac:dyDescent="0.25">
      <c r="C19" s="56" t="s">
        <v>154</v>
      </c>
      <c r="D19" s="57" t="s">
        <v>24</v>
      </c>
      <c r="E19" s="58" t="s">
        <v>155</v>
      </c>
    </row>
    <row r="20" spans="3:5" ht="19.5" customHeight="1" x14ac:dyDescent="0.25">
      <c r="C20" s="59" t="s">
        <v>156</v>
      </c>
      <c r="D20" s="60" t="s">
        <v>157</v>
      </c>
      <c r="E20" s="61">
        <v>46324</v>
      </c>
    </row>
    <row r="21" spans="3:5" ht="19.5" customHeight="1" x14ac:dyDescent="0.25">
      <c r="C21" s="62" t="s">
        <v>158</v>
      </c>
      <c r="D21" s="63" t="s">
        <v>159</v>
      </c>
      <c r="E21" s="64">
        <v>46317</v>
      </c>
    </row>
    <row r="22" spans="3:5" ht="19.5" customHeight="1" x14ac:dyDescent="0.25">
      <c r="C22" s="59" t="s">
        <v>160</v>
      </c>
      <c r="D22" s="60" t="s">
        <v>161</v>
      </c>
      <c r="E22" s="61">
        <v>46321</v>
      </c>
    </row>
    <row r="23" spans="3:5" ht="19.5" customHeight="1" x14ac:dyDescent="0.25">
      <c r="C23" s="62" t="s">
        <v>162</v>
      </c>
      <c r="D23" s="63" t="s">
        <v>163</v>
      </c>
      <c r="E23" s="65">
        <v>46310</v>
      </c>
    </row>
    <row r="24" spans="3:5" ht="15.75" customHeight="1" x14ac:dyDescent="0.25"/>
    <row r="25" spans="3:5" ht="15.75" customHeight="1" x14ac:dyDescent="0.25"/>
    <row r="26" spans="3:5" ht="15.75" customHeight="1" x14ac:dyDescent="0.25"/>
    <row r="27" spans="3:5" ht="15.75" customHeight="1" x14ac:dyDescent="0.25"/>
    <row r="28" spans="3:5" ht="15.75" customHeight="1" x14ac:dyDescent="0.25"/>
    <row r="29" spans="3:5" ht="15.75" customHeight="1" x14ac:dyDescent="0.25"/>
    <row r="30" spans="3:5" ht="15.75" customHeight="1" x14ac:dyDescent="0.25"/>
    <row r="31" spans="3:5" ht="15.75" customHeight="1" x14ac:dyDescent="0.25"/>
    <row r="32" spans="3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  <mergeCell ref="C9:E9"/>
    <mergeCell ref="C10:E10"/>
    <mergeCell ref="C11:E11"/>
    <mergeCell ref="C13:E13"/>
    <mergeCell ref="C14:E1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⚙ Configuración</vt:lpstr>
      <vt:lpstr>📋 Sprint Backlog</vt:lpstr>
      <vt:lpstr>📉 Burndown 1</vt:lpstr>
      <vt:lpstr>📉 Burndown 2</vt:lpstr>
      <vt:lpstr>📊 Métricas</vt:lpstr>
      <vt:lpstr>🔄 Retrospectiva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CIENFUEGOS</cp:lastModifiedBy>
  <dcterms:created xsi:type="dcterms:W3CDTF">2026-08-12T00:44:11Z</dcterms:created>
  <dcterms:modified xsi:type="dcterms:W3CDTF">2026-10-12T02:38:47Z</dcterms:modified>
</cp:coreProperties>
</file>