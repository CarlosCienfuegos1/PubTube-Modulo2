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 Configuración" sheetId="1" r:id="rId4"/>
    <sheet state="visible" name="📋 Sprint Backlog" sheetId="2" r:id="rId5"/>
    <sheet state="visible" name="📉 Burndown" sheetId="3" r:id="rId6"/>
    <sheet state="visible" name="📊 Métricas" sheetId="4" r:id="rId7"/>
    <sheet state="visible" name="🔄 Retrospectiva" sheetId="5" r:id="rId8"/>
  </sheets>
  <definedNames/>
  <calcPr/>
  <extLst>
    <ext uri="GoogleSheetsCustomDataVersion2">
      <go:sheetsCustomData xmlns:go="http://customooxmlschemas.google.com/" r:id="rId9" roundtripDataChecksum="WU2TkAJVnjAck81/TKPtBRfl4z4SahC4/nDjUP0+bPM="/>
    </ext>
  </extLst>
</workbook>
</file>

<file path=xl/sharedStrings.xml><?xml version="1.0" encoding="utf-8"?>
<sst xmlns="http://schemas.openxmlformats.org/spreadsheetml/2006/main" count="140" uniqueCount="130">
  <si>
    <t>📋  Sprint Backlog</t>
  </si>
  <si>
    <t>🏃  Configuración del Sprint</t>
  </si>
  <si>
    <t>📊  Métricas del Sprint</t>
  </si>
  <si>
    <t>Historias de usuario correspondientes al sprint 1</t>
  </si>
  <si>
    <t>Completa estos datos antes de comenzar el sprint</t>
  </si>
  <si>
    <t>Estas métricas se calculan automáticamente desde el Backlog y la Configuración</t>
  </si>
  <si>
    <t>ID</t>
  </si>
  <si>
    <t>User Story / Tarea</t>
  </si>
  <si>
    <t>Responsable</t>
  </si>
  <si>
    <t xml:space="preserve">  📋  Datos del Sprint</t>
  </si>
  <si>
    <t xml:space="preserve">  🎯  Progreso del Sprint</t>
  </si>
  <si>
    <t>SP Estimados</t>
  </si>
  <si>
    <t>SP Completados</t>
  </si>
  <si>
    <t>SP comprometidos</t>
  </si>
  <si>
    <t>Nombre del proyecto</t>
  </si>
  <si>
    <t>Estado</t>
  </si>
  <si>
    <t>Prioridad</t>
  </si>
  <si>
    <t>PubTube</t>
  </si>
  <si>
    <t>US-B1a</t>
  </si>
  <si>
    <t>Exchange de eventos operativo</t>
  </si>
  <si>
    <t>Número de sprint</t>
  </si>
  <si>
    <t>Equipo / Módulo</t>
  </si>
  <si>
    <t>Equipo B — M2 Pub/Sub</t>
  </si>
  <si>
    <t>Fecha de inicio</t>
  </si>
  <si>
    <t>Fecha de cierre (Review)</t>
  </si>
  <si>
    <t>✅ Done</t>
  </si>
  <si>
    <t>Duración (sesiones Lun/Jue)</t>
  </si>
  <si>
    <t>Alta</t>
  </si>
  <si>
    <t>US-B6a</t>
  </si>
  <si>
    <t>Persistencia de eventos en el event store</t>
  </si>
  <si>
    <t>Story Points comprometidos (total)</t>
  </si>
  <si>
    <t>Total de SP del Sprint Backlog</t>
  </si>
  <si>
    <t>US-B2a</t>
  </si>
  <si>
    <t>Envelope: esquema y validación</t>
  </si>
  <si>
    <t>SP completados</t>
  </si>
  <si>
    <t>US-B1b</t>
  </si>
  <si>
    <t>libreria-publicacion-suscripcion</t>
  </si>
  <si>
    <t>SP en estado Done hasta hoy</t>
  </si>
  <si>
    <t>US-B2b</t>
  </si>
  <si>
    <t>Propagación correlationId/causationId</t>
  </si>
  <si>
    <t>Velocidad sprint anterior</t>
  </si>
  <si>
    <t>Medio</t>
  </si>
  <si>
    <t>SP restantes</t>
  </si>
  <si>
    <t>Número de integrantes</t>
  </si>
  <si>
    <t xml:space="preserve">  🎯  Definition of Done (DoD)</t>
  </si>
  <si>
    <t>SP que aún deben completarse</t>
  </si>
  <si>
    <t xml:space="preserve">  ✔  Código revisado por al menos un par (Code Review)</t>
  </si>
  <si>
    <t>% completado</t>
  </si>
  <si>
    <t xml:space="preserve">  ✔  Pruebas unitarias/integración escritas y pasando (cobertura ≥ 70%)</t>
  </si>
  <si>
    <t xml:space="preserve">  ✔  Contrato actualizado (OpenAPI + catálogo de eventos) si cambió una interfaz</t>
  </si>
  <si>
    <t>Avance real del sprint</t>
  </si>
  <si>
    <t>Historias Done</t>
  </si>
  <si>
    <t xml:space="preserve">  ✔  Sin errores críticos en la integración con otros módulos</t>
  </si>
  <si>
    <t xml:space="preserve">  ✔  Desplegable con docker compose y demostrable en el Review</t>
  </si>
  <si>
    <t>Historias completadas</t>
  </si>
  <si>
    <t>Historias en progreso</t>
  </si>
  <si>
    <t xml:space="preserve">  📌  Notas del Sprint</t>
  </si>
  <si>
    <t>TOTAL SP DEL SPRINT</t>
  </si>
  <si>
    <t>En desarrollo activo</t>
  </si>
  <si>
    <t>Escribe aquí los acuerdos e impedimentos del Sprint Planning...</t>
  </si>
  <si>
    <t xml:space="preserve">  ⚡  Velocidad y Predicción</t>
  </si>
  <si>
    <t>Velocidad sprint actual (real)</t>
  </si>
  <si>
    <t>SP completados en este sprint</t>
  </si>
  <si>
    <t>SP completados en sprint previo</t>
  </si>
  <si>
    <t>Variación de velocidad</t>
  </si>
  <si>
    <t>Positivo = mejora respecto al anterior</t>
  </si>
  <si>
    <t>SP/persona/sprint</t>
  </si>
  <si>
    <t>Productividad promedio del equipo</t>
  </si>
  <si>
    <t>SP/persona/sesión</t>
  </si>
  <si>
    <t>Ritmo por sesión del equipo</t>
  </si>
  <si>
    <t xml:space="preserve">  🏥  Salud del Sprint</t>
  </si>
  <si>
    <t>Sesiones transcurridas</t>
  </si>
  <si>
    <t>Actualizar manualmente cada sesión</t>
  </si>
  <si>
    <t>Sesiones restantes</t>
  </si>
  <si>
    <t>Sesiones hasta el Sprint Review</t>
  </si>
  <si>
    <t>SP/sesión requerido</t>
  </si>
  <si>
    <t>Ritmo necesario para completar el sprint</t>
  </si>
  <si>
    <t>SP/sesión logrado</t>
  </si>
  <si>
    <t>Ritmo real del equipo</t>
  </si>
  <si>
    <t>Índice de rendimiento (SPI)</t>
  </si>
  <si>
    <t>SPI &gt;1 = adelantado  |  SPI &lt;1 = atrasado</t>
  </si>
  <si>
    <t xml:space="preserve">  Interpretación del SPI (Schedule Performance Index):</t>
  </si>
  <si>
    <t>SPI &gt; 1.1</t>
  </si>
  <si>
    <t>Equipo adelantado — considerar asumir trabajo extra (backlog stretch)</t>
  </si>
  <si>
    <t>SPI 0.9 – 1.1</t>
  </si>
  <si>
    <t>Equipo dentro del ritmo esperado ✓</t>
  </si>
  <si>
    <t>SPI 0.7 – 0.9</t>
  </si>
  <si>
    <t>Leve atraso — revisar impedimentos en la Daily</t>
  </si>
  <si>
    <t>SPI &lt; 0.7</t>
  </si>
  <si>
    <t>Atraso crítico — replanificar el sprint con el PO</t>
  </si>
  <si>
    <t>📉  Burndown Chart — Seguimiento por Sesión (Lun/Jue)</t>
  </si>
  <si>
    <t>Actualiza 'SP Completados Hoy' al final de cada Daily (lunes y jueves).</t>
  </si>
  <si>
    <t>Sesión</t>
  </si>
  <si>
    <t>Fecha</t>
  </si>
  <si>
    <t>SP Restantes (Ideal)</t>
  </si>
  <si>
    <t>SP Completados Hoy</t>
  </si>
  <si>
    <t>SP Acumulados</t>
  </si>
  <si>
    <t>SP Restantes (Real)</t>
  </si>
  <si>
    <t>31/08/26</t>
  </si>
  <si>
    <t>Nota: este sprint fue apresurado debido a la diferencia de tiempo entre la presentacion del sprint y la fecha de entrega de la documentacion.</t>
  </si>
  <si>
    <t>03/09/26</t>
  </si>
  <si>
    <t>Nota: la planificacion fue hecha para ser presentada el dia 10/09, por lo que los SP fueron hechos en base a eso.</t>
  </si>
  <si>
    <t>07/09/26</t>
  </si>
  <si>
    <t>🔄  Retrospectiva del Sprint</t>
  </si>
  <si>
    <t>10/09/26</t>
  </si>
  <si>
    <t>Retrospectiva del Sprint 1</t>
  </si>
  <si>
    <t>✅  KEEP — Lo que funcionó bien</t>
  </si>
  <si>
    <t>14/09/26</t>
  </si>
  <si>
    <t xml:space="preserve">  •  Todas las funciones solicitadas por las historias de usuario fueron hechas dentro del tiempo establecido</t>
  </si>
  <si>
    <t xml:space="preserve">  •  la division de historias de usuario para el sprint 1 resulto ser correcta y efectiva</t>
  </si>
  <si>
    <t xml:space="preserve">  •  ...</t>
  </si>
  <si>
    <t>❌  DROP — Lo que hay que dejar de hacer</t>
  </si>
  <si>
    <t>17/09/26</t>
  </si>
  <si>
    <t xml:space="preserve">  •  Una buena parte de la carga de trabajo se terminó desplazando hacia fechas criticas</t>
  </si>
  <si>
    <t xml:space="preserve">  • no hubo una planificacion sobre como abordar la presentación del sprint 1</t>
  </si>
  <si>
    <t>🚀  TRY — Lo que queremos intentar</t>
  </si>
  <si>
    <t xml:space="preserve">  •  redistribuir de mejor manera los SPs de ls historias de usuario a lo largo del tiempo</t>
  </si>
  <si>
    <t xml:space="preserve">  •  implementar un plan de presentación de sprint</t>
  </si>
  <si>
    <t xml:space="preserve">  •  Continuar en base a la guia de las historias de usuario refinadas</t>
  </si>
  <si>
    <t>📌  Acciones Concretas para el Próximo Sprint</t>
  </si>
  <si>
    <t>Acción</t>
  </si>
  <si>
    <t>Fecha límite</t>
  </si>
  <si>
    <t>planificacion de presentacion final</t>
  </si>
  <si>
    <t>Product owner</t>
  </si>
  <si>
    <t>Desarrollo de funcionalidades en base a historias de usuario</t>
  </si>
  <si>
    <t>desarrolladores</t>
  </si>
  <si>
    <t xml:space="preserve">verificacion de "Done" para cada historia de usuario </t>
  </si>
  <si>
    <t>Scrap master</t>
  </si>
  <si>
    <t>Contacto "entre modulos" para definir posibles convenciones u integraciones</t>
  </si>
  <si>
    <t>equipo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</si>
</sst>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0.0%"/>
    <numFmt numFmtId="166" formatCode="\+#,##0;\-#,##0;0"/>
    <numFmt numFmtId="167" formatCode="0.0"/>
    <numFmt numFmtId="168" formatCode="dd/mm"/>
    <numFmt numFmtId="169" formatCode="d/m"/>
  </numFmts>
  <fonts count="26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0.0"/>
      <color rgb="FF64748B"/>
      <name val="Calibri"/>
    </font>
    <font>
      <b/>
      <sz val="11.0"/>
      <color rgb="FFFFFFFF"/>
      <name val="Calibri"/>
    </font>
    <font>
      <sz val="11.0"/>
      <color rgb="FF1A2E4A"/>
      <name val="Calibri"/>
    </font>
    <font>
      <b/>
      <sz val="11.0"/>
      <color rgb="FF1D5FA8"/>
      <name val="Calibri"/>
    </font>
    <font>
      <b/>
      <sz val="10.0"/>
      <color rgb="FF1A2E4A"/>
      <name val="Calibri"/>
    </font>
    <font>
      <sz val="9.0"/>
      <color rgb="FF64748B"/>
      <name val="Calibri"/>
    </font>
    <font>
      <color theme="1"/>
      <name val="Calibri"/>
      <scheme val="minor"/>
    </font>
    <font>
      <b/>
      <sz val="11.0"/>
      <color rgb="FF0D8A8A"/>
      <name val="Calibri"/>
    </font>
    <font>
      <b/>
      <sz val="10.0"/>
      <color rgb="FFB5232A"/>
      <name val="Calibri"/>
    </font>
    <font>
      <b/>
      <sz val="12.0"/>
      <color rgb="FF1A2E4A"/>
      <name val="Calibri"/>
    </font>
    <font>
      <sz val="10.0"/>
      <color rgb="FF1A2E4A"/>
      <name val="Calibri"/>
    </font>
    <font>
      <sz val="10.0"/>
      <color rgb="FF1E7E34"/>
      <name val="Calibri"/>
    </font>
    <font>
      <b/>
      <sz val="10.0"/>
      <color rgb="FFD4860B"/>
      <name val="Calibri"/>
    </font>
    <font>
      <b/>
      <sz val="13.0"/>
      <color rgb="FFFFFFFF"/>
      <name val="Calibri"/>
    </font>
    <font>
      <b/>
      <sz val="10.0"/>
      <color rgb="FF1E7E34"/>
      <name val="Calibri"/>
    </font>
    <font>
      <b/>
      <sz val="10.0"/>
      <color rgb="FF1D5FA8"/>
      <name val="Calibri"/>
    </font>
    <font>
      <b/>
      <sz val="10.0"/>
      <color rgb="FFFFFFFF"/>
      <name val="Calibri"/>
    </font>
    <font>
      <b/>
      <sz val="11.0"/>
      <color rgb="FF1A2E4A"/>
      <name val="Calibri"/>
    </font>
    <font>
      <sz val="11.0"/>
      <color rgb="FF1E7E34"/>
      <name val="Calibri"/>
    </font>
    <font>
      <b/>
      <sz val="11.0"/>
      <color rgb="FFB5232A"/>
      <name val="Calibri"/>
    </font>
    <font>
      <b/>
      <sz val="12.0"/>
      <color rgb="FFFFFFFF"/>
      <name val="Calibri"/>
    </font>
    <font>
      <sz val="11.0"/>
      <color rgb="FF64748B"/>
      <name val="Calibri"/>
    </font>
    <font>
      <sz val="11.0"/>
      <color rgb="FFD4860B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D5FA8"/>
        <bgColor rgb="FF1D5FA8"/>
      </patternFill>
    </fill>
    <fill>
      <patternFill patternType="solid">
        <fgColor rgb="FF0D8A8A"/>
        <bgColor rgb="FF0D8A8A"/>
      </patternFill>
    </fill>
    <fill>
      <patternFill patternType="solid">
        <fgColor rgb="FFFFFFFF"/>
        <bgColor rgb="FFFFFFFF"/>
      </patternFill>
    </fill>
    <fill>
      <patternFill patternType="solid">
        <fgColor rgb="FFD4860B"/>
        <bgColor rgb="FFD4860B"/>
      </patternFill>
    </fill>
    <fill>
      <patternFill patternType="solid">
        <fgColor rgb="FFB5232A"/>
        <bgColor rgb="FFB5232A"/>
      </patternFill>
    </fill>
    <fill>
      <patternFill patternType="solid">
        <fgColor rgb="FFE8F0FA"/>
        <bgColor rgb="FFE8F0FA"/>
      </patternFill>
    </fill>
    <fill>
      <patternFill patternType="solid">
        <fgColor rgb="FFE0F4F4"/>
        <bgColor rgb="FFE0F4F4"/>
      </patternFill>
    </fill>
    <fill>
      <patternFill patternType="solid">
        <fgColor rgb="FFFAEAEA"/>
        <bgColor rgb="FFFAEAEA"/>
      </patternFill>
    </fill>
    <fill>
      <patternFill patternType="solid">
        <fgColor rgb="FFFDF3E0"/>
        <bgColor rgb="FFFDF3E0"/>
      </patternFill>
    </fill>
    <fill>
      <patternFill patternType="solid">
        <fgColor rgb="FFE8F5EC"/>
        <bgColor rgb="FFE8F5EC"/>
      </patternFill>
    </fill>
    <fill>
      <patternFill patternType="solid">
        <fgColor rgb="FF1E7E34"/>
        <bgColor rgb="FF1E7E34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4" fillId="5" fontId="4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left" vertical="center"/>
    </xf>
    <xf borderId="4" fillId="7" fontId="4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left" vertical="center"/>
    </xf>
    <xf borderId="4" fillId="8" fontId="4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readingOrder="0" vertical="center"/>
    </xf>
    <xf borderId="5" fillId="3" fontId="8" numFmtId="0" xfId="0" applyAlignment="1" applyBorder="1" applyFill="1" applyFont="1">
      <alignment horizontal="left" vertical="center"/>
    </xf>
    <xf borderId="0" fillId="0" fontId="9" numFmtId="0" xfId="0" applyAlignment="1" applyFont="1">
      <alignment readingOrder="0"/>
    </xf>
    <xf borderId="4" fillId="6" fontId="3" numFmtId="0" xfId="0" applyAlignment="1" applyBorder="1" applyFill="1" applyFont="1">
      <alignment horizontal="left" vertical="center"/>
    </xf>
    <xf borderId="4" fillId="9" fontId="6" numFmtId="0" xfId="0" applyAlignment="1" applyBorder="1" applyFill="1" applyFont="1">
      <alignment horizontal="center" readingOrder="0" vertical="center"/>
    </xf>
    <xf borderId="5" fillId="6" fontId="6" numFmtId="164" xfId="0" applyAlignment="1" applyBorder="1" applyFill="1" applyFont="1" applyNumberFormat="1">
      <alignment horizontal="center" vertical="center"/>
    </xf>
    <xf borderId="4" fillId="10" fontId="10" numFmtId="0" xfId="0" applyAlignment="1" applyBorder="1" applyFill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vertical="center"/>
    </xf>
    <xf borderId="4" fillId="11" fontId="11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readingOrder="0" vertical="center"/>
    </xf>
    <xf borderId="4" fillId="3" fontId="7" numFmtId="0" xfId="0" applyAlignment="1" applyBorder="1" applyFill="1" applyFont="1">
      <alignment horizontal="center" readingOrder="0" vertical="center"/>
    </xf>
    <xf borderId="5" fillId="9" fontId="12" numFmtId="3" xfId="0" applyAlignment="1" applyBorder="1" applyFill="1" applyFont="1" applyNumberFormat="1">
      <alignment horizontal="center" vertical="center"/>
    </xf>
    <xf borderId="4" fillId="3" fontId="3" numFmtId="0" xfId="0" applyAlignment="1" applyBorder="1" applyFill="1" applyFont="1">
      <alignment horizontal="left" vertical="center"/>
    </xf>
    <xf borderId="5" fillId="6" fontId="8" numFmtId="0" xfId="0" applyAlignment="1" applyBorder="1" applyFill="1" applyFont="1">
      <alignment horizontal="left" vertical="center"/>
    </xf>
    <xf borderId="5" fillId="6" fontId="5" numFmtId="0" xfId="0" applyAlignment="1" applyBorder="1" applyFill="1" applyFont="1">
      <alignment vertical="center"/>
    </xf>
    <xf borderId="4" fillId="3" fontId="13" numFmtId="0" xfId="0" applyAlignment="1" applyBorder="1" applyFill="1" applyFont="1">
      <alignment horizontal="left" readingOrder="0" shrinkToFit="0" vertical="center" wrapText="1"/>
    </xf>
    <xf borderId="4" fillId="11" fontId="11" numFmtId="0" xfId="0" applyAlignment="1" applyBorder="1" applyFill="1" applyFont="1">
      <alignment horizontal="center" readingOrder="0" vertical="center"/>
    </xf>
    <xf borderId="5" fillId="3" fontId="5" numFmtId="0" xfId="0" applyAlignment="1" applyBorder="1" applyFill="1" applyFont="1">
      <alignment vertical="center"/>
    </xf>
    <xf borderId="4" fillId="12" fontId="11" numFmtId="0" xfId="0" applyAlignment="1" applyBorder="1" applyFill="1" applyFont="1">
      <alignment horizontal="center" readingOrder="0" vertical="center"/>
    </xf>
    <xf borderId="4" fillId="3" fontId="7" numFmtId="0" xfId="0" applyAlignment="1" applyBorder="1" applyFill="1" applyFont="1">
      <alignment horizontal="center" vertical="center"/>
    </xf>
    <xf borderId="4" fillId="3" fontId="13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ill="1" applyFont="1">
      <alignment horizontal="center" vertical="center"/>
    </xf>
    <xf borderId="4" fillId="10" fontId="10" numFmtId="0" xfId="0" applyAlignment="1" applyBorder="1" applyFill="1" applyFont="1">
      <alignment horizontal="center" vertical="center"/>
    </xf>
    <xf borderId="1" fillId="13" fontId="14" numFmtId="0" xfId="0" applyAlignment="1" applyBorder="1" applyFill="1" applyFont="1">
      <alignment horizontal="left" vertical="center"/>
    </xf>
    <xf borderId="4" fillId="3" fontId="3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4" fillId="6" fontId="13" numFmtId="0" xfId="0" applyAlignment="1" applyBorder="1" applyFill="1" applyFont="1">
      <alignment horizontal="left" shrinkToFit="0" vertical="center" wrapText="1"/>
    </xf>
    <xf borderId="5" fillId="9" fontId="12" numFmtId="165" xfId="0" applyAlignment="1" applyBorder="1" applyFill="1" applyFont="1" applyNumberFormat="1">
      <alignment horizontal="center" vertical="center"/>
    </xf>
    <xf borderId="4" fillId="12" fontId="1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vertical="center"/>
    </xf>
    <xf borderId="4" fillId="3" fontId="5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6" fillId="10" fontId="3" numFmtId="0" xfId="0" applyAlignment="1" applyBorder="1" applyFill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5" fillId="9" fontId="12" numFmtId="166" xfId="0" applyAlignment="1" applyBorder="1" applyFill="1" applyFont="1" applyNumberFormat="1">
      <alignment horizontal="center" vertical="center"/>
    </xf>
    <xf borderId="5" fillId="4" fontId="16" numFmtId="0" xfId="0" applyAlignment="1" applyBorder="1" applyFill="1" applyFont="1">
      <alignment horizontal="center" vertical="center"/>
    </xf>
    <xf borderId="5" fillId="5" fontId="16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5" fillId="9" fontId="12" numFmtId="167" xfId="0" applyAlignment="1" applyBorder="1" applyFill="1" applyFont="1" applyNumberFormat="1">
      <alignment horizontal="center" vertical="center"/>
    </xf>
    <xf borderId="5" fillId="5" fontId="4" numFmtId="9" xfId="0" applyAlignment="1" applyBorder="1" applyFill="1" applyFont="1" applyNumberFormat="1">
      <alignment horizontal="center" vertical="center"/>
    </xf>
    <xf borderId="5" fillId="2" fontId="5" numFmtId="0" xfId="0" applyAlignment="1" applyBorder="1" applyFill="1" applyFont="1">
      <alignment vertical="center"/>
    </xf>
    <xf borderId="5" fillId="9" fontId="12" numFmtId="2" xfId="0" applyAlignment="1" applyBorder="1" applyFill="1" applyFont="1" applyNumberFormat="1">
      <alignment horizontal="center" vertical="center"/>
    </xf>
    <xf borderId="1" fillId="7" fontId="4" numFmtId="0" xfId="0" applyAlignment="1" applyBorder="1" applyFill="1" applyFont="1">
      <alignment horizontal="left" vertical="center"/>
    </xf>
    <xf borderId="1" fillId="3" fontId="7" numFmtId="0" xfId="0" applyAlignment="1" applyBorder="1" applyFill="1" applyFont="1">
      <alignment horizontal="left" vertical="center"/>
    </xf>
    <xf borderId="5" fillId="13" fontId="17" numFmtId="0" xfId="0" applyAlignment="1" applyBorder="1" applyFill="1" applyFont="1">
      <alignment horizontal="left" vertical="center"/>
    </xf>
    <xf borderId="1" fillId="13" fontId="13" numFmtId="0" xfId="0" applyAlignment="1" applyBorder="1" applyFill="1" applyFont="1">
      <alignment horizontal="left" vertical="center"/>
    </xf>
    <xf borderId="5" fillId="9" fontId="18" numFmtId="0" xfId="0" applyAlignment="1" applyBorder="1" applyFill="1" applyFont="1">
      <alignment horizontal="left" vertical="center"/>
    </xf>
    <xf borderId="1" fillId="9" fontId="13" numFmtId="0" xfId="0" applyAlignment="1" applyBorder="1" applyFill="1" applyFont="1">
      <alignment horizontal="left" vertical="center"/>
    </xf>
    <xf borderId="5" fillId="12" fontId="15" numFmtId="0" xfId="0" applyAlignment="1" applyBorder="1" applyFill="1" applyFont="1">
      <alignment horizontal="left" vertical="center"/>
    </xf>
    <xf borderId="1" fillId="12" fontId="13" numFmtId="0" xfId="0" applyAlignment="1" applyBorder="1" applyFill="1" applyFont="1">
      <alignment horizontal="left" vertical="center"/>
    </xf>
    <xf borderId="5" fillId="11" fontId="11" numFmtId="0" xfId="0" applyAlignment="1" applyBorder="1" applyFill="1" applyFont="1">
      <alignment horizontal="left" vertical="center"/>
    </xf>
    <xf borderId="1" fillId="11" fontId="13" numFmtId="0" xfId="0" applyAlignment="1" applyBorder="1" applyFill="1" applyFont="1">
      <alignment horizontal="left" vertical="center"/>
    </xf>
    <xf borderId="4" fillId="2" fontId="19" numFmtId="0" xfId="0" applyAlignment="1" applyBorder="1" applyFill="1" applyFont="1">
      <alignment horizontal="center" shrinkToFit="0" vertical="center" wrapText="1"/>
    </xf>
    <xf borderId="4" fillId="4" fontId="19" numFmtId="0" xfId="0" applyAlignment="1" applyBorder="1" applyFill="1" applyFont="1">
      <alignment horizontal="center" shrinkToFit="0" vertical="center" wrapText="1"/>
    </xf>
    <xf borderId="4" fillId="5" fontId="19" numFmtId="0" xfId="0" applyAlignment="1" applyBorder="1" applyFill="1" applyFont="1">
      <alignment horizontal="center" shrinkToFit="0" vertical="center" wrapText="1"/>
    </xf>
    <xf borderId="4" fillId="14" fontId="19" numFmtId="0" xfId="0" applyAlignment="1" applyBorder="1" applyFill="1" applyFont="1">
      <alignment horizontal="center" shrinkToFit="0" vertical="center" wrapText="1"/>
    </xf>
    <xf borderId="4" fillId="8" fontId="19" numFmtId="0" xfId="0" applyAlignment="1" applyBorder="1" applyFill="1" applyFont="1">
      <alignment horizontal="center" shrinkToFit="0" vertical="center" wrapText="1"/>
    </xf>
    <xf borderId="4" fillId="6" fontId="20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4" fillId="9" fontId="6" numFmtId="167" xfId="0" applyAlignment="1" applyBorder="1" applyFill="1" applyFont="1" applyNumberFormat="1">
      <alignment horizontal="center" vertical="center"/>
    </xf>
    <xf borderId="4" fillId="13" fontId="21" numFmtId="0" xfId="0" applyAlignment="1" applyBorder="1" applyFill="1" applyFont="1">
      <alignment horizontal="center" vertical="center"/>
    </xf>
    <xf borderId="4" fillId="11" fontId="22" numFmtId="0" xfId="0" applyAlignment="1" applyBorder="1" applyFill="1" applyFont="1">
      <alignment horizontal="center" vertical="center"/>
    </xf>
    <xf borderId="4" fillId="3" fontId="20" numFmtId="0" xfId="0" applyAlignment="1" applyBorder="1" applyFill="1" applyFont="1">
      <alignment horizontal="center" vertical="center"/>
    </xf>
    <xf borderId="1" fillId="14" fontId="23" numFmtId="0" xfId="0" applyAlignment="1" applyBorder="1" applyFill="1" applyFont="1">
      <alignment horizontal="left" vertical="center"/>
    </xf>
    <xf borderId="1" fillId="13" fontId="13" numFmtId="0" xfId="0" applyAlignment="1" applyBorder="1" applyFill="1" applyFont="1">
      <alignment horizontal="left" readingOrder="0" vertical="center"/>
    </xf>
    <xf borderId="1" fillId="8" fontId="23" numFmtId="0" xfId="0" applyAlignment="1" applyBorder="1" applyFill="1" applyFont="1">
      <alignment horizontal="left" vertical="center"/>
    </xf>
    <xf borderId="1" fillId="11" fontId="13" numFmtId="0" xfId="0" applyAlignment="1" applyBorder="1" applyFill="1" applyFont="1">
      <alignment horizontal="left" readingOrder="0" vertical="center"/>
    </xf>
    <xf borderId="1" fillId="4" fontId="23" numFmtId="0" xfId="0" applyAlignment="1" applyBorder="1" applyFill="1" applyFont="1">
      <alignment horizontal="left" vertical="center"/>
    </xf>
    <xf borderId="1" fillId="9" fontId="13" numFmtId="0" xfId="0" applyAlignment="1" applyBorder="1" applyFill="1" applyFont="1">
      <alignment horizontal="left" readingOrder="0" vertical="center"/>
    </xf>
    <xf borderId="1" fillId="5" fontId="23" numFmtId="0" xfId="0" applyAlignment="1" applyBorder="1" applyFill="1" applyFont="1">
      <alignment horizontal="left" vertical="center"/>
    </xf>
    <xf borderId="4" fillId="5" fontId="19" numFmtId="0" xfId="0" applyAlignment="1" applyBorder="1" applyFill="1" applyFont="1">
      <alignment horizontal="left" vertical="center"/>
    </xf>
    <xf borderId="4" fillId="4" fontId="19" numFmtId="0" xfId="0" applyAlignment="1" applyBorder="1" applyFill="1" applyFont="1">
      <alignment horizontal="center" vertical="center"/>
    </xf>
    <xf borderId="4" fillId="7" fontId="19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left" readingOrder="0" vertical="center"/>
    </xf>
    <xf borderId="4" fillId="6" fontId="24" numFmtId="0" xfId="0" applyAlignment="1" applyBorder="1" applyFill="1" applyFont="1">
      <alignment horizontal="center" readingOrder="0" vertical="center"/>
    </xf>
    <xf borderId="4" fillId="6" fontId="25" numFmtId="168" xfId="0" applyAlignment="1" applyBorder="1" applyFill="1" applyFont="1" applyNumberFormat="1">
      <alignment horizontal="center" readingOrder="0" vertical="center"/>
    </xf>
    <xf borderId="4" fillId="3" fontId="5" numFmtId="0" xfId="0" applyAlignment="1" applyBorder="1" applyFill="1" applyFont="1">
      <alignment horizontal="left" readingOrder="0" vertical="center"/>
    </xf>
    <xf borderId="4" fillId="3" fontId="24" numFmtId="0" xfId="0" applyAlignment="1" applyBorder="1" applyFill="1" applyFont="1">
      <alignment horizontal="center" readingOrder="0" vertical="center"/>
    </xf>
    <xf borderId="4" fillId="3" fontId="25" numFmtId="168" xfId="0" applyAlignment="1" applyBorder="1" applyFill="1" applyFont="1" applyNumberFormat="1">
      <alignment horizontal="center" readingOrder="0" vertical="center"/>
    </xf>
    <xf borderId="4" fillId="3" fontId="25" numFmtId="169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Burndown'!$D$4:$D$9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Burndown'!$B$4:$B$9</c:f>
            </c:strRef>
          </c:cat>
          <c:val>
            <c:numRef>
              <c:f>'📉 Burndown'!$G$4:$G$9</c:f>
              <c:numCache/>
            </c:numRef>
          </c:val>
          <c:smooth val="0"/>
        </c:ser>
        <c:axId val="1662933557"/>
        <c:axId val="2101441137"/>
      </c:lineChart>
      <c:catAx>
        <c:axId val="1662933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1441137"/>
      </c:catAx>
      <c:valAx>
        <c:axId val="2101441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629335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123825</xdr:rowOff>
    </xdr:from>
    <xdr:ext cx="5791200" cy="3209925"/>
    <xdr:graphicFrame>
      <xdr:nvGraphicFramePr>
        <xdr:cNvPr id="13004270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86"/>
    <col customWidth="1" min="3" max="3" width="22.0"/>
    <col customWidth="1" min="4" max="4" width="28.57"/>
    <col customWidth="1" min="5" max="5" width="3.0"/>
    <col customWidth="1" min="6" max="26" width="8.71"/>
  </cols>
  <sheetData>
    <row r="1">
      <c r="B1" s="1" t="s">
        <v>1</v>
      </c>
      <c r="C1" s="2"/>
      <c r="D1" s="3"/>
    </row>
    <row r="2">
      <c r="B2" s="5" t="s">
        <v>4</v>
      </c>
      <c r="C2" s="2"/>
      <c r="D2" s="3"/>
    </row>
    <row r="3">
      <c r="B3" s="8" t="s">
        <v>9</v>
      </c>
      <c r="C3" s="2"/>
      <c r="D3" s="3"/>
    </row>
    <row r="4" ht="19.5" customHeight="1">
      <c r="B4" s="12" t="s">
        <v>14</v>
      </c>
      <c r="C4" s="14" t="s">
        <v>17</v>
      </c>
      <c r="D4" s="16"/>
    </row>
    <row r="5" ht="19.5" customHeight="1">
      <c r="B5" s="12" t="s">
        <v>20</v>
      </c>
      <c r="C5" s="14">
        <v>1.0</v>
      </c>
      <c r="D5" s="16"/>
    </row>
    <row r="6" ht="19.5" customHeight="1">
      <c r="B6" s="12" t="s">
        <v>21</v>
      </c>
      <c r="C6" s="14" t="s">
        <v>22</v>
      </c>
      <c r="D6" s="16"/>
    </row>
    <row r="7" ht="19.5" customHeight="1">
      <c r="B7" s="12" t="s">
        <v>23</v>
      </c>
      <c r="C7" s="20">
        <v>46265.0</v>
      </c>
      <c r="D7" s="16"/>
    </row>
    <row r="8" ht="19.5" customHeight="1">
      <c r="B8" s="12" t="s">
        <v>24</v>
      </c>
      <c r="C8" s="20">
        <v>46282.0</v>
      </c>
      <c r="D8" s="16"/>
    </row>
    <row r="9" ht="19.5" customHeight="1">
      <c r="B9" s="12" t="s">
        <v>26</v>
      </c>
      <c r="C9" s="24">
        <v>4.0</v>
      </c>
      <c r="D9" s="16"/>
    </row>
    <row r="10" ht="19.5" customHeight="1">
      <c r="B10" s="12" t="s">
        <v>30</v>
      </c>
      <c r="C10" s="14">
        <f>'📋 Sprint Backlog'!E16</f>
        <v>16</v>
      </c>
      <c r="D10" s="16"/>
    </row>
    <row r="11" ht="19.5" customHeight="1">
      <c r="B11" s="12" t="s">
        <v>40</v>
      </c>
      <c r="C11" s="14">
        <v>0.0</v>
      </c>
      <c r="D11" s="16"/>
    </row>
    <row r="12" ht="19.5" customHeight="1">
      <c r="B12" s="12" t="s">
        <v>43</v>
      </c>
      <c r="C12" s="24">
        <v>5.0</v>
      </c>
      <c r="D12" s="16"/>
    </row>
    <row r="13">
      <c r="B13" s="8" t="s">
        <v>44</v>
      </c>
      <c r="C13" s="2"/>
      <c r="D13" s="3"/>
    </row>
    <row r="14">
      <c r="B14" s="38" t="s">
        <v>46</v>
      </c>
      <c r="C14" s="2"/>
      <c r="D14" s="3"/>
    </row>
    <row r="15">
      <c r="B15" s="38" t="s">
        <v>48</v>
      </c>
      <c r="C15" s="2"/>
      <c r="D15" s="3"/>
    </row>
    <row r="16">
      <c r="B16" s="38" t="s">
        <v>49</v>
      </c>
      <c r="C16" s="2"/>
      <c r="D16" s="3"/>
    </row>
    <row r="17">
      <c r="B17" s="38" t="s">
        <v>52</v>
      </c>
      <c r="C17" s="2"/>
      <c r="D17" s="3"/>
    </row>
    <row r="18">
      <c r="B18" s="38" t="s">
        <v>53</v>
      </c>
      <c r="C18" s="2"/>
      <c r="D18" s="3"/>
    </row>
    <row r="19">
      <c r="B19" s="46" t="s">
        <v>56</v>
      </c>
      <c r="C19" s="2"/>
      <c r="D19" s="3"/>
    </row>
    <row r="20" ht="15.0" customHeight="1">
      <c r="B20" s="48" t="s">
        <v>59</v>
      </c>
      <c r="C20" s="49"/>
      <c r="D20" s="50"/>
    </row>
    <row r="21" ht="15.75" customHeight="1">
      <c r="B21" s="51"/>
      <c r="D21" s="52"/>
    </row>
    <row r="22" ht="15.75" customHeight="1">
      <c r="B22" s="51"/>
      <c r="D22" s="52"/>
    </row>
    <row r="23" ht="15.75" customHeight="1">
      <c r="B23" s="56"/>
      <c r="C23" s="57"/>
      <c r="D23" s="5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D17"/>
    <mergeCell ref="B18:D18"/>
    <mergeCell ref="B19:D19"/>
    <mergeCell ref="B20:D23"/>
    <mergeCell ref="B1:D1"/>
    <mergeCell ref="B2:D2"/>
    <mergeCell ref="B3:D3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74.43"/>
    <col customWidth="1" min="4" max="4" width="14.29"/>
    <col customWidth="1" min="5" max="5" width="14.86"/>
    <col customWidth="1" min="6" max="6" width="17.86"/>
    <col customWidth="1" min="7" max="7" width="14.43"/>
    <col customWidth="1" min="8" max="8" width="10.29"/>
    <col customWidth="1" min="9" max="26" width="8.71"/>
  </cols>
  <sheetData>
    <row r="1">
      <c r="B1" s="1" t="s">
        <v>0</v>
      </c>
      <c r="C1" s="2"/>
      <c r="D1" s="2"/>
      <c r="E1" s="2"/>
      <c r="F1" s="2"/>
      <c r="G1" s="2"/>
      <c r="H1" s="3"/>
    </row>
    <row r="2">
      <c r="B2" s="4" t="s">
        <v>3</v>
      </c>
      <c r="C2" s="2"/>
      <c r="D2" s="2"/>
      <c r="E2" s="2"/>
      <c r="F2" s="2"/>
      <c r="G2" s="2"/>
      <c r="H2" s="3"/>
    </row>
    <row r="3" ht="25.5" customHeight="1">
      <c r="B3" s="6" t="s">
        <v>6</v>
      </c>
      <c r="C3" s="6" t="s">
        <v>7</v>
      </c>
      <c r="D3" s="6" t="s">
        <v>8</v>
      </c>
      <c r="E3" s="7" t="s">
        <v>11</v>
      </c>
      <c r="F3" s="9" t="s">
        <v>12</v>
      </c>
      <c r="G3" s="11" t="s">
        <v>15</v>
      </c>
      <c r="H3" s="13" t="s">
        <v>16</v>
      </c>
    </row>
    <row r="4" ht="30.0" customHeight="1">
      <c r="B4" s="15" t="s">
        <v>18</v>
      </c>
      <c r="C4" s="17" t="s">
        <v>19</v>
      </c>
      <c r="D4" s="18"/>
      <c r="E4" s="19">
        <v>5.0</v>
      </c>
      <c r="F4" s="21">
        <v>5.0</v>
      </c>
      <c r="G4" s="22" t="s">
        <v>25</v>
      </c>
      <c r="H4" s="23" t="s">
        <v>27</v>
      </c>
    </row>
    <row r="5" ht="30.0" customHeight="1">
      <c r="B5" s="25" t="s">
        <v>28</v>
      </c>
      <c r="C5" s="17" t="s">
        <v>29</v>
      </c>
      <c r="D5" s="27"/>
      <c r="E5" s="19">
        <v>3.0</v>
      </c>
      <c r="F5" s="21">
        <v>3.0</v>
      </c>
      <c r="G5" s="22" t="s">
        <v>25</v>
      </c>
      <c r="H5" s="23" t="s">
        <v>27</v>
      </c>
    </row>
    <row r="6" ht="30.0" customHeight="1">
      <c r="B6" s="15" t="s">
        <v>32</v>
      </c>
      <c r="C6" s="17" t="s">
        <v>33</v>
      </c>
      <c r="D6" s="18"/>
      <c r="E6" s="19">
        <v>3.0</v>
      </c>
      <c r="F6" s="21">
        <v>3.0</v>
      </c>
      <c r="G6" s="22" t="s">
        <v>25</v>
      </c>
      <c r="H6" s="23" t="s">
        <v>27</v>
      </c>
    </row>
    <row r="7" ht="30.0" customHeight="1">
      <c r="B7" s="25" t="s">
        <v>35</v>
      </c>
      <c r="C7" s="30" t="s">
        <v>36</v>
      </c>
      <c r="D7" s="27"/>
      <c r="E7" s="19">
        <v>3.0</v>
      </c>
      <c r="F7" s="21">
        <v>3.0</v>
      </c>
      <c r="G7" s="22" t="s">
        <v>25</v>
      </c>
      <c r="H7" s="31" t="s">
        <v>27</v>
      </c>
    </row>
    <row r="8" ht="30.0" customHeight="1">
      <c r="B8" s="15" t="s">
        <v>38</v>
      </c>
      <c r="C8" s="17" t="s">
        <v>39</v>
      </c>
      <c r="D8" s="18"/>
      <c r="E8" s="19">
        <v>2.0</v>
      </c>
      <c r="F8" s="21">
        <v>2.0</v>
      </c>
      <c r="G8" s="22" t="s">
        <v>25</v>
      </c>
      <c r="H8" s="33" t="s">
        <v>41</v>
      </c>
    </row>
    <row r="9" ht="30.0" customHeight="1">
      <c r="B9" s="34"/>
      <c r="C9" s="35"/>
      <c r="D9" s="27"/>
      <c r="E9" s="36"/>
      <c r="F9" s="37"/>
      <c r="G9" s="39"/>
      <c r="H9" s="23"/>
    </row>
    <row r="10" ht="30.0" customHeight="1">
      <c r="B10" s="40"/>
      <c r="C10" s="41"/>
      <c r="D10" s="18"/>
      <c r="E10" s="36"/>
      <c r="F10" s="37"/>
      <c r="G10" s="39"/>
      <c r="H10" s="43"/>
    </row>
    <row r="11" ht="30.0" customHeight="1">
      <c r="B11" s="34"/>
      <c r="C11" s="35"/>
      <c r="D11" s="27"/>
      <c r="E11" s="36"/>
      <c r="F11" s="37"/>
      <c r="G11" s="39"/>
      <c r="H11" s="23"/>
    </row>
    <row r="12" ht="30.0" customHeight="1">
      <c r="B12" s="44"/>
      <c r="C12" s="44"/>
      <c r="D12" s="44"/>
      <c r="E12" s="44"/>
      <c r="F12" s="44"/>
      <c r="G12" s="44"/>
      <c r="H12" s="44"/>
    </row>
    <row r="13" ht="30.0" customHeight="1">
      <c r="B13" s="45"/>
      <c r="C13" s="45"/>
      <c r="D13" s="45"/>
      <c r="E13" s="45"/>
      <c r="F13" s="45"/>
      <c r="G13" s="45"/>
      <c r="H13" s="45"/>
    </row>
    <row r="14" ht="30.0" customHeight="1">
      <c r="B14" s="44"/>
      <c r="C14" s="44"/>
      <c r="D14" s="44"/>
      <c r="E14" s="44"/>
      <c r="F14" s="44"/>
      <c r="G14" s="44"/>
      <c r="H14" s="44"/>
    </row>
    <row r="15" ht="30.0" customHeight="1">
      <c r="B15" s="45"/>
      <c r="C15" s="45"/>
      <c r="D15" s="45"/>
      <c r="E15" s="45"/>
      <c r="F15" s="45"/>
      <c r="G15" s="45"/>
      <c r="H15" s="45"/>
    </row>
    <row r="16">
      <c r="B16" s="47" t="s">
        <v>57</v>
      </c>
      <c r="C16" s="2"/>
      <c r="D16" s="3"/>
      <c r="E16" s="54">
        <f t="shared" ref="E16:F16" si="1">SUM(E4:E15)</f>
        <v>16</v>
      </c>
      <c r="F16" s="55">
        <f t="shared" si="1"/>
        <v>16</v>
      </c>
      <c r="G16" s="60">
        <f>IFERROR(F16/E16,0)</f>
        <v>1</v>
      </c>
      <c r="H16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4.0"/>
    <col customWidth="1" min="4" max="5" width="16.0"/>
    <col customWidth="1" min="6" max="7" width="15.0"/>
    <col customWidth="1" min="8" max="26" width="8.71"/>
  </cols>
  <sheetData>
    <row r="1">
      <c r="B1" s="1" t="s">
        <v>90</v>
      </c>
      <c r="C1" s="2"/>
      <c r="D1" s="2"/>
      <c r="E1" s="2"/>
      <c r="F1" s="2"/>
      <c r="G1" s="3"/>
    </row>
    <row r="2">
      <c r="B2" s="5" t="s">
        <v>91</v>
      </c>
      <c r="C2" s="2"/>
      <c r="D2" s="2"/>
      <c r="E2" s="2"/>
      <c r="F2" s="2"/>
      <c r="G2" s="3"/>
    </row>
    <row r="3" ht="30.0" customHeight="1">
      <c r="B3" s="73" t="s">
        <v>92</v>
      </c>
      <c r="C3" s="73" t="s">
        <v>93</v>
      </c>
      <c r="D3" s="74" t="s">
        <v>94</v>
      </c>
      <c r="E3" s="75" t="s">
        <v>95</v>
      </c>
      <c r="F3" s="76" t="s">
        <v>96</v>
      </c>
      <c r="G3" s="77" t="s">
        <v>97</v>
      </c>
    </row>
    <row r="4" ht="21.75" customHeight="1">
      <c r="B4" s="78">
        <v>1.0</v>
      </c>
      <c r="C4" s="79" t="s">
        <v>98</v>
      </c>
      <c r="D4" s="80">
        <f>'⚙ Configuración'!$C$10*(6-B4)/5</f>
        <v>16</v>
      </c>
      <c r="E4" s="21">
        <v>3.0</v>
      </c>
      <c r="F4" s="81">
        <f t="shared" ref="F4:F9" si="1">SUM($E$4:E4)</f>
        <v>3</v>
      </c>
      <c r="G4" s="82">
        <f>'⚙ Configuración'!$C$10-F4</f>
        <v>13</v>
      </c>
      <c r="I4" s="17" t="s">
        <v>99</v>
      </c>
    </row>
    <row r="5" ht="21.75" customHeight="1">
      <c r="B5" s="83">
        <v>2.0</v>
      </c>
      <c r="C5" s="39" t="s">
        <v>100</v>
      </c>
      <c r="D5" s="80">
        <f>'⚙ Configuración'!$C$10*(6-B5)/5</f>
        <v>12.8</v>
      </c>
      <c r="E5" s="21">
        <v>3.0</v>
      </c>
      <c r="F5" s="81">
        <f t="shared" si="1"/>
        <v>6</v>
      </c>
      <c r="G5" s="82">
        <f>'⚙ Configuración'!$C$10-F5</f>
        <v>10</v>
      </c>
      <c r="I5" s="17" t="s">
        <v>101</v>
      </c>
    </row>
    <row r="6" ht="21.75" customHeight="1">
      <c r="B6" s="78">
        <v>3.0</v>
      </c>
      <c r="C6" s="79" t="s">
        <v>102</v>
      </c>
      <c r="D6" s="80">
        <f>'⚙ Configuración'!$C$10*(6-B6)/5</f>
        <v>9.6</v>
      </c>
      <c r="E6" s="21">
        <v>4.0</v>
      </c>
      <c r="F6" s="81">
        <f t="shared" si="1"/>
        <v>10</v>
      </c>
      <c r="G6" s="82">
        <f>'⚙ Configuración'!$C$10-F6</f>
        <v>6</v>
      </c>
    </row>
    <row r="7" ht="21.75" customHeight="1">
      <c r="B7" s="83">
        <v>4.0</v>
      </c>
      <c r="C7" s="39" t="s">
        <v>104</v>
      </c>
      <c r="D7" s="80">
        <f>'⚙ Configuración'!$C$10*(6-B7)/5</f>
        <v>6.4</v>
      </c>
      <c r="E7" s="21">
        <v>6.0</v>
      </c>
      <c r="F7" s="81">
        <f t="shared" si="1"/>
        <v>16</v>
      </c>
      <c r="G7" s="82">
        <f>'⚙ Configuración'!$C$10-F7</f>
        <v>0</v>
      </c>
    </row>
    <row r="8" ht="21.75" customHeight="1">
      <c r="B8" s="78">
        <v>5.0</v>
      </c>
      <c r="C8" s="79" t="s">
        <v>107</v>
      </c>
      <c r="D8" s="80">
        <f>'⚙ Configuración'!$C$10*(6-B8)/5</f>
        <v>3.2</v>
      </c>
      <c r="E8" s="21">
        <v>0.0</v>
      </c>
      <c r="F8" s="81">
        <f t="shared" si="1"/>
        <v>16</v>
      </c>
      <c r="G8" s="82">
        <f>'⚙ Configuración'!$C$10-F8</f>
        <v>0</v>
      </c>
    </row>
    <row r="9" ht="21.75" customHeight="1">
      <c r="B9" s="83">
        <v>6.0</v>
      </c>
      <c r="C9" s="39" t="s">
        <v>112</v>
      </c>
      <c r="D9" s="80">
        <f>'⚙ Configuración'!$C$10*(6-B9)/5</f>
        <v>0</v>
      </c>
      <c r="E9" s="21">
        <v>0.0</v>
      </c>
      <c r="F9" s="81">
        <f t="shared" si="1"/>
        <v>16</v>
      </c>
      <c r="G9" s="82">
        <f>'⚙ Configuración'!$C$10-F9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71"/>
    <col customWidth="1" min="3" max="3" width="8.0"/>
    <col customWidth="1" min="4" max="4" width="56.14"/>
    <col customWidth="1" min="5" max="5" width="20.0"/>
    <col customWidth="1" min="6" max="6" width="3.0"/>
    <col customWidth="1" min="7" max="26" width="8.71"/>
  </cols>
  <sheetData>
    <row r="1">
      <c r="B1" s="1" t="s">
        <v>2</v>
      </c>
      <c r="C1" s="2"/>
      <c r="D1" s="2"/>
      <c r="E1" s="3"/>
    </row>
    <row r="2">
      <c r="B2" s="5" t="s">
        <v>5</v>
      </c>
      <c r="C2" s="2"/>
      <c r="D2" s="2"/>
      <c r="E2" s="3"/>
    </row>
    <row r="3">
      <c r="B3" s="8" t="s">
        <v>10</v>
      </c>
      <c r="C3" s="2"/>
      <c r="D3" s="2"/>
      <c r="E3" s="3"/>
    </row>
    <row r="4">
      <c r="B4" s="10" t="s">
        <v>13</v>
      </c>
      <c r="C4" s="26">
        <f>'📋 Sprint Backlog'!E16</f>
        <v>16</v>
      </c>
      <c r="D4" s="28" t="s">
        <v>31</v>
      </c>
      <c r="E4" s="29"/>
    </row>
    <row r="5">
      <c r="B5" s="12" t="s">
        <v>34</v>
      </c>
      <c r="C5" s="26">
        <f>'📋 Sprint Backlog'!F16</f>
        <v>16</v>
      </c>
      <c r="D5" s="16" t="s">
        <v>37</v>
      </c>
      <c r="E5" s="32"/>
    </row>
    <row r="6">
      <c r="B6" s="10" t="s">
        <v>42</v>
      </c>
      <c r="C6" s="26">
        <f>'📋 Sprint Backlog'!E16-'📋 Sprint Backlog'!F16</f>
        <v>0</v>
      </c>
      <c r="D6" s="28" t="s">
        <v>45</v>
      </c>
      <c r="E6" s="29"/>
    </row>
    <row r="7">
      <c r="B7" s="12" t="s">
        <v>47</v>
      </c>
      <c r="C7" s="42">
        <f>IFERROR('📋 Sprint Backlog'!F16/'📋 Sprint Backlog'!E16,0)</f>
        <v>1</v>
      </c>
      <c r="D7" s="16" t="s">
        <v>50</v>
      </c>
      <c r="E7" s="32"/>
    </row>
    <row r="8">
      <c r="B8" s="10" t="s">
        <v>51</v>
      </c>
      <c r="C8" s="26">
        <f>COUNTIF('📋 Sprint Backlog'!G4:G15,"✅ Done")</f>
        <v>5</v>
      </c>
      <c r="D8" s="28" t="s">
        <v>54</v>
      </c>
      <c r="E8" s="29"/>
    </row>
    <row r="9">
      <c r="B9" s="12" t="s">
        <v>55</v>
      </c>
      <c r="C9" s="26">
        <f>COUNTIF('📋 Sprint Backlog'!G4:G15,"🔄 In Progress")</f>
        <v>0</v>
      </c>
      <c r="D9" s="16" t="s">
        <v>58</v>
      </c>
      <c r="E9" s="32"/>
    </row>
    <row r="10">
      <c r="B10" s="46" t="s">
        <v>60</v>
      </c>
      <c r="C10" s="2"/>
      <c r="D10" s="2"/>
      <c r="E10" s="3"/>
    </row>
    <row r="11">
      <c r="B11" s="12" t="s">
        <v>61</v>
      </c>
      <c r="C11" s="26">
        <f>'📋 Sprint Backlog'!F16</f>
        <v>16</v>
      </c>
      <c r="D11" s="16" t="s">
        <v>62</v>
      </c>
      <c r="E11" s="32"/>
    </row>
    <row r="12">
      <c r="B12" s="10" t="s">
        <v>40</v>
      </c>
      <c r="C12" s="26">
        <f>'⚙ Configuración'!C11</f>
        <v>0</v>
      </c>
      <c r="D12" s="28" t="s">
        <v>63</v>
      </c>
      <c r="E12" s="29"/>
    </row>
    <row r="13">
      <c r="B13" s="12" t="s">
        <v>64</v>
      </c>
      <c r="C13" s="53">
        <f>'📋 Sprint Backlog'!F16-'⚙ Configuración'!C11</f>
        <v>16</v>
      </c>
      <c r="D13" s="16" t="s">
        <v>65</v>
      </c>
      <c r="E13" s="32"/>
    </row>
    <row r="14">
      <c r="B14" s="10" t="s">
        <v>66</v>
      </c>
      <c r="C14" s="59">
        <f>IFERROR('📋 Sprint Backlog'!F16/'⚙ Configuración'!C12,0)</f>
        <v>3.2</v>
      </c>
      <c r="D14" s="28" t="s">
        <v>67</v>
      </c>
      <c r="E14" s="29"/>
    </row>
    <row r="15">
      <c r="B15" s="12" t="s">
        <v>68</v>
      </c>
      <c r="C15" s="62">
        <f>IFERROR('📋 Sprint Backlog'!F16/('⚙ Configuración'!C12*'⚙ Configuración'!C9),0)</f>
        <v>0.8</v>
      </c>
      <c r="D15" s="16" t="s">
        <v>69</v>
      </c>
      <c r="E15" s="32"/>
    </row>
    <row r="16">
      <c r="B16" s="63" t="s">
        <v>70</v>
      </c>
      <c r="C16" s="2"/>
      <c r="D16" s="2"/>
      <c r="E16" s="3"/>
    </row>
    <row r="17">
      <c r="B17" s="12" t="s">
        <v>71</v>
      </c>
      <c r="C17" s="26">
        <v>0.0</v>
      </c>
      <c r="D17" s="16" t="s">
        <v>72</v>
      </c>
      <c r="E17" s="32"/>
    </row>
    <row r="18">
      <c r="B18" s="10" t="s">
        <v>73</v>
      </c>
      <c r="C18" s="26">
        <f>'⚙ Configuración'!C9-C17</f>
        <v>4</v>
      </c>
      <c r="D18" s="28" t="s">
        <v>74</v>
      </c>
      <c r="E18" s="29"/>
    </row>
    <row r="19">
      <c r="B19" s="12" t="s">
        <v>75</v>
      </c>
      <c r="C19" s="59">
        <f>IF(C18&lt;=0,"Sprint terminado",('📋 Sprint Backlog'!E16-'📋 Sprint Backlog'!F16)/C18)</f>
        <v>0</v>
      </c>
      <c r="D19" s="16" t="s">
        <v>76</v>
      </c>
      <c r="E19" s="32"/>
    </row>
    <row r="20">
      <c r="B20" s="10" t="s">
        <v>77</v>
      </c>
      <c r="C20" s="59">
        <f>IF(C17=0,0,'📋 Sprint Backlog'!F16/C17)</f>
        <v>0</v>
      </c>
      <c r="D20" s="28" t="s">
        <v>78</v>
      </c>
      <c r="E20" s="29"/>
    </row>
    <row r="21" ht="15.75" customHeight="1">
      <c r="B21" s="12" t="s">
        <v>79</v>
      </c>
      <c r="C21" s="62">
        <f>IF(C17=0,1,C20/IFERROR(('⚙ Configuración'!C10/'⚙ Configuración'!C9),1))</f>
        <v>1</v>
      </c>
      <c r="D21" s="16" t="s">
        <v>80</v>
      </c>
      <c r="E21" s="32"/>
    </row>
    <row r="22" ht="15.75" customHeight="1">
      <c r="B22" s="64" t="s">
        <v>81</v>
      </c>
      <c r="C22" s="2"/>
      <c r="D22" s="2"/>
      <c r="E22" s="3"/>
    </row>
    <row r="23" ht="15.75" customHeight="1">
      <c r="B23" s="65" t="s">
        <v>82</v>
      </c>
      <c r="C23" s="66" t="s">
        <v>83</v>
      </c>
      <c r="D23" s="2"/>
      <c r="E23" s="3"/>
    </row>
    <row r="24" ht="15.75" customHeight="1">
      <c r="B24" s="67" t="s">
        <v>84</v>
      </c>
      <c r="C24" s="68" t="s">
        <v>85</v>
      </c>
      <c r="D24" s="2"/>
      <c r="E24" s="3"/>
    </row>
    <row r="25" ht="15.75" customHeight="1">
      <c r="B25" s="69" t="s">
        <v>86</v>
      </c>
      <c r="C25" s="70" t="s">
        <v>87</v>
      </c>
      <c r="D25" s="2"/>
      <c r="E25" s="3"/>
    </row>
    <row r="26" ht="15.75" customHeight="1">
      <c r="B26" s="71" t="s">
        <v>88</v>
      </c>
      <c r="C26" s="72" t="s">
        <v>89</v>
      </c>
      <c r="D26" s="2"/>
      <c r="E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4:E24"/>
    <mergeCell ref="C25:E25"/>
    <mergeCell ref="C26:E26"/>
    <mergeCell ref="B1:E1"/>
    <mergeCell ref="B2:E2"/>
    <mergeCell ref="B3:E3"/>
    <mergeCell ref="B10:E10"/>
    <mergeCell ref="B16:E16"/>
    <mergeCell ref="B22:E22"/>
    <mergeCell ref="C23:E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67.29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1" t="s">
        <v>103</v>
      </c>
      <c r="D1" s="2"/>
      <c r="E1" s="3"/>
    </row>
    <row r="2">
      <c r="C2" s="4" t="s">
        <v>105</v>
      </c>
      <c r="D2" s="2"/>
      <c r="E2" s="3"/>
    </row>
    <row r="3">
      <c r="C3" s="84" t="s">
        <v>106</v>
      </c>
      <c r="D3" s="2"/>
      <c r="E3" s="3"/>
    </row>
    <row r="4">
      <c r="C4" s="85" t="s">
        <v>108</v>
      </c>
      <c r="D4" s="2"/>
      <c r="E4" s="3"/>
    </row>
    <row r="5">
      <c r="C5" s="85" t="s">
        <v>109</v>
      </c>
      <c r="D5" s="2"/>
      <c r="E5" s="3"/>
    </row>
    <row r="6">
      <c r="C6" s="66" t="s">
        <v>110</v>
      </c>
      <c r="D6" s="2"/>
      <c r="E6" s="3"/>
    </row>
    <row r="8">
      <c r="C8" s="86" t="s">
        <v>111</v>
      </c>
      <c r="D8" s="2"/>
      <c r="E8" s="3"/>
    </row>
    <row r="9">
      <c r="C9" s="87" t="s">
        <v>113</v>
      </c>
      <c r="D9" s="2"/>
      <c r="E9" s="3"/>
    </row>
    <row r="10">
      <c r="C10" s="87" t="s">
        <v>114</v>
      </c>
      <c r="D10" s="2"/>
      <c r="E10" s="3"/>
    </row>
    <row r="11">
      <c r="C11" s="72" t="s">
        <v>110</v>
      </c>
      <c r="D11" s="2"/>
      <c r="E11" s="3"/>
    </row>
    <row r="13">
      <c r="C13" s="88" t="s">
        <v>115</v>
      </c>
      <c r="D13" s="2"/>
      <c r="E13" s="3"/>
    </row>
    <row r="14">
      <c r="C14" s="89" t="s">
        <v>116</v>
      </c>
      <c r="D14" s="2"/>
      <c r="E14" s="3"/>
    </row>
    <row r="15">
      <c r="C15" s="89" t="s">
        <v>117</v>
      </c>
      <c r="D15" s="2"/>
      <c r="E15" s="3"/>
    </row>
    <row r="16">
      <c r="C16" s="89" t="s">
        <v>118</v>
      </c>
      <c r="D16" s="2"/>
      <c r="E16" s="3"/>
    </row>
    <row r="18">
      <c r="C18" s="90" t="s">
        <v>119</v>
      </c>
      <c r="D18" s="2"/>
      <c r="E18" s="3"/>
    </row>
    <row r="19">
      <c r="C19" s="91" t="s">
        <v>120</v>
      </c>
      <c r="D19" s="92" t="s">
        <v>8</v>
      </c>
      <c r="E19" s="93" t="s">
        <v>121</v>
      </c>
    </row>
    <row r="20" ht="19.5" customHeight="1">
      <c r="C20" s="94" t="s">
        <v>122</v>
      </c>
      <c r="D20" s="95" t="s">
        <v>123</v>
      </c>
      <c r="E20" s="96">
        <v>46303.0</v>
      </c>
    </row>
    <row r="21" ht="19.5" customHeight="1">
      <c r="C21" s="97" t="s">
        <v>124</v>
      </c>
      <c r="D21" s="98" t="s">
        <v>125</v>
      </c>
      <c r="E21" s="99">
        <v>46303.0</v>
      </c>
    </row>
    <row r="22" ht="19.5" customHeight="1">
      <c r="C22" s="94" t="s">
        <v>126</v>
      </c>
      <c r="D22" s="95" t="s">
        <v>127</v>
      </c>
      <c r="E22" s="96">
        <v>46303.0</v>
      </c>
    </row>
    <row r="23" ht="19.5" customHeight="1">
      <c r="C23" s="97" t="s">
        <v>128</v>
      </c>
      <c r="D23" s="98" t="s">
        <v>129</v>
      </c>
      <c r="E23" s="100">
        <v>46291.0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2026-08-12T00:44:11Z</dcterms:created>
  <dc:creator>openpyxl</dc:creator>
</cp:coreProperties>
</file>